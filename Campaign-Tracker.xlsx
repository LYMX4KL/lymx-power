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Partner Pipeline" sheetId="3" state="visible" r:id="rId5"/>
    <sheet name="Activated Partners" sheetId="4" state="visible" r:id="rId6"/>
    <sheet name="Business Activations" sheetId="5" state="visible" r:id="rId7"/>
    <sheet name="Content Metrics" sheetId="6" state="visible" r:id="rId8"/>
    <sheet name="Weekly Review" sheetId="7" state="visible" r:id="rId9"/>
    <sheet name="Founder Dinner RSV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<sst xmlns="http://schemas.openxmlformats.org/spreadsheetml/2006/main" count="236" uniqueCount="185">
  <si>
    <t xml:space="preserve">FOUNDING 25 CAMPAIGN TRACKER</t>
  </si>
  <si>
    <t xml:space="preserve">May 11 – June 7, 2026</t>
  </si>
  <si>
    <t xml:space="preserve">How to use this workbook</t>
  </si>
  <si>
    <t xml:space="preserve">1. DASHBOARD — your daily snapshot. Read-only; numbers update automatically.</t>
  </si>
  <si>
    <t xml:space="preserve">2. PARTNER PIPELINE — every prospect you're talking to. Add new rows as you reach</t>
  </si>
  <si>
    <t xml:space="preserve">   out. Update Status as you progress them. The Dashboard pulls from this sheet.</t>
  </si>
  <si>
    <t xml:space="preserve">3. ACTIVATED PARTNERS — Partners who actually signed up. The 30-day clock starts</t>
  </si>
  <si>
    <t xml:space="preserve">   the day they join. Track their activations and watch who qualifies first.</t>
  </si>
  <si>
    <t xml:space="preserve">4. BUSINESS ACTIVATIONS — every business signed up by your Partners. One row per</t>
  </si>
  <si>
    <t xml:space="preserve">   business. The Activated-Partners sheet uses these to compute progress.</t>
  </si>
  <si>
    <t xml:space="preserve">5. CONTENT METRICS — week-by-week post performance (LinkedIn, IG, FB, cold email).</t>
  </si>
  <si>
    <t xml:space="preserve">   Update Sunday during your weekly review.</t>
  </si>
  <si>
    <t xml:space="preserve">6. WEEKLY REVIEW — Sunday-night log. Honest answers to the same five questions</t>
  </si>
  <si>
    <t xml:space="preserve">   every week. Patterns will emerge by week 3.</t>
  </si>
  <si>
    <t xml:space="preserve">7. FOUNDER DINNER RSVP — the twelve seats for May 28. Mark each invitation as</t>
  </si>
  <si>
    <t xml:space="preserve">   sent / confirmed / declined / attended.</t>
  </si>
  <si>
    <t xml:space="preserve">Color conventions</t>
  </si>
  <si>
    <t xml:space="preserve">  · BLUE text     — hardcoded numbers you change as scenarios change</t>
  </si>
  <si>
    <t xml:space="preserve">  · BLACK text    — calculated values (formulas)</t>
  </si>
  <si>
    <t xml:space="preserve">  · GREEN text    — cross-sheet references</t>
  </si>
  <si>
    <t xml:space="preserve">  · YELLOW fill   — key assumptions that need attention or input</t>
  </si>
  <si>
    <t xml:space="preserve">Data hygiene</t>
  </si>
  <si>
    <t xml:space="preserve">  · Update DAILY during the 4-week sprint. Sundays at minimum.</t>
  </si>
  <si>
    <t xml:space="preserve">  · Do not delete rows — mark Status = 'Dropped' instead. Audit trail matters.</t>
  </si>
  <si>
    <t xml:space="preserve">  · Phone numbers in +1 NXX NXX NNNN format. Emails lowercase. Names Title Case.</t>
  </si>
  <si>
    <t xml:space="preserve">  · Dates as YYYY-MM-DD. The whole workbook depends on consistent date handling.</t>
  </si>
  <si>
    <t xml:space="preserve">Created 2026-05-05 · Kenny Lin · LYMX Power</t>
  </si>
  <si>
    <t xml:space="preserve">FOUNDING 25 — LIVE DASHBOARD</t>
  </si>
  <si>
    <t xml:space="preserve">Updates automatically as you fill in the other sheets.</t>
  </si>
  <si>
    <t xml:space="preserve">PRIMARY KPIs</t>
  </si>
  <si>
    <t xml:space="preserve">Partner signups</t>
  </si>
  <si>
    <t xml:space="preserve">/</t>
  </si>
  <si>
    <t xml:space="preserve">target by Jun 7</t>
  </si>
  <si>
    <t xml:space="preserve">Business activations</t>
  </si>
  <si>
    <t xml:space="preserve">Founding 25 qualified</t>
  </si>
  <si>
    <t xml:space="preserve">Speed bonus qualifiers</t>
  </si>
  <si>
    <t xml:space="preserve">5 in 30 days</t>
  </si>
  <si>
    <t xml:space="preserve">Founder Dinner confirmed</t>
  </si>
  <si>
    <t xml:space="preserve">12 seats by May 26</t>
  </si>
  <si>
    <t xml:space="preserve">FUNNEL — top to bottom</t>
  </si>
  <si>
    <t xml:space="preserve">PARTNER PRODUCTIVITY</t>
  </si>
  <si>
    <t xml:space="preserve">Prospects in pipeline</t>
  </si>
  <si>
    <t xml:space="preserve">Avg activations / Partner</t>
  </si>
  <si>
    <t xml:space="preserve">First-touch sent</t>
  </si>
  <si>
    <t xml:space="preserve">Median activations / Partner</t>
  </si>
  <si>
    <t xml:space="preserve">Replied</t>
  </si>
  <si>
    <t xml:space="preserve">Cash-out front earned (sum)</t>
  </si>
  <si>
    <t xml:space="preserve">1-on-1 booked</t>
  </si>
  <si>
    <t xml:space="preserve">Recurring committed / mo (sum)</t>
  </si>
  <si>
    <t xml:space="preserve">Said yes</t>
  </si>
  <si>
    <t xml:space="preserve">Said no / dropped</t>
  </si>
  <si>
    <t xml:space="preserve">Conversion rate (yes ÷ 1-on-1)</t>
  </si>
  <si>
    <t xml:space="preserve">Reminder: update daily. The numbers above only matter if the source sheets are current.</t>
  </si>
  <si>
    <t xml:space="preserve">PARTNER PIPELINE</t>
  </si>
  <si>
    <t xml:space="preserve">Every person you've reached out to or been introduced to. Add new rows as you go.</t>
  </si>
  <si>
    <t xml:space="preserve">#</t>
  </si>
  <si>
    <t xml:space="preserve">Name</t>
  </si>
  <si>
    <t xml:space="preserve">Phone</t>
  </si>
  <si>
    <t xml:space="preserve">Email</t>
  </si>
  <si>
    <t xml:space="preserve">How you know them</t>
  </si>
  <si>
    <t xml:space="preserve">Tier (A/B/C)</t>
  </si>
  <si>
    <t xml:space="preserve">Channel</t>
  </si>
  <si>
    <t xml:space="preserve">First contact date</t>
  </si>
  <si>
    <t xml:space="preserve">Last contact date</t>
  </si>
  <si>
    <t xml:space="preserve">Replied? (Y/N/notes)</t>
  </si>
  <si>
    <t xml:space="preserve">1-on-1 booked? (date)</t>
  </si>
  <si>
    <t xml:space="preserve">Status</t>
  </si>
  <si>
    <t xml:space="preserve">Notes / next action</t>
  </si>
  <si>
    <t xml:space="preserve">Maya Chen</t>
  </si>
  <si>
    <t xml:space="preserve">+1 702 555 0142</t>
  </si>
  <si>
    <t xml:space="preserve">maya@example.com</t>
  </si>
  <si>
    <t xml:space="preserve">Old colleague at Allegiant Air</t>
  </si>
  <si>
    <t xml:space="preserve">A</t>
  </si>
  <si>
    <t xml:space="preserve">iMessage</t>
  </si>
  <si>
    <t xml:space="preserve">2026-05-11</t>
  </si>
  <si>
    <t xml:space="preserve">Yes — interested</t>
  </si>
  <si>
    <t xml:space="preserve">2026-05-13</t>
  </si>
  <si>
    <t xml:space="preserve">1on1 booked</t>
  </si>
  <si>
    <t xml:space="preserve">Send Founding-25 PDF day before</t>
  </si>
  <si>
    <t xml:space="preserve">Rico Alvarez</t>
  </si>
  <si>
    <t xml:space="preserve">+1 702 555 0288</t>
  </si>
  <si>
    <t xml:space="preserve">rico@example.com</t>
  </si>
  <si>
    <t xml:space="preserve">Met at Henderson Chamber</t>
  </si>
  <si>
    <t xml:space="preserve">B</t>
  </si>
  <si>
    <t xml:space="preserve">2026-05-12</t>
  </si>
  <si>
    <t xml:space="preserve">Awaiting reply</t>
  </si>
  <si>
    <t xml:space="preserve">Follow up Fri if no reply</t>
  </si>
  <si>
    <t xml:space="preserve">Tasha Wright</t>
  </si>
  <si>
    <t xml:space="preserve">+1 702 555 0331</t>
  </si>
  <si>
    <t xml:space="preserve">tasha@example.com</t>
  </si>
  <si>
    <t xml:space="preserve">Insurance broker, peer of mine</t>
  </si>
  <si>
    <t xml:space="preserve">Yes — wants to think it over</t>
  </si>
  <si>
    <t xml:space="preserve">Follow up</t>
  </si>
  <si>
    <t xml:space="preserve">Re-engage 5/16 with napkin math</t>
  </si>
  <si>
    <t xml:space="preserve">ACTIVATED PARTNERS</t>
  </si>
  <si>
    <t xml:space="preserve">Sums →</t>
  </si>
  <si>
    <t xml:space="preserve">Partner Name</t>
  </si>
  <si>
    <t xml:space="preserve">Joined date</t>
  </si>
  <si>
    <t xml:space="preserve">30-day deadline</t>
  </si>
  <si>
    <t xml:space="preserve">Days remaining</t>
  </si>
  <si>
    <t xml:space="preserve">Activations</t>
  </si>
  <si>
    <t xml:space="preserve">Speed bonus? (5 in 30)</t>
  </si>
  <si>
    <t xml:space="preserve">Founding 25 status</t>
  </si>
  <si>
    <t xml:space="preserve">Cash earned ($)</t>
  </si>
  <si>
    <t xml:space="preserve">Recurring / mo ($)</t>
  </si>
  <si>
    <t xml:space="preserve">Notes</t>
  </si>
  <si>
    <t xml:space="preserve">2026-05-15</t>
  </si>
  <si>
    <t xml:space="preserve">2026-05-18</t>
  </si>
  <si>
    <t xml:space="preserve">BUSINESS ACTIVATIONS</t>
  </si>
  <si>
    <t xml:space="preserve">Every business that signed up. One row per business. Match Partner Name to a row in Activated Partners.</t>
  </si>
  <si>
    <t xml:space="preserve">Business Name</t>
  </si>
  <si>
    <t xml:space="preserve">Owner Name</t>
  </si>
  <si>
    <t xml:space="preserve">Partner Name (must match Activated Partners)</t>
  </si>
  <si>
    <t xml:space="preserve">Category</t>
  </si>
  <si>
    <t xml:space="preserve">Application date</t>
  </si>
  <si>
    <t xml:space="preserve">Approved date</t>
  </si>
  <si>
    <t xml:space="preserve">Dashboard activated date</t>
  </si>
  <si>
    <t xml:space="preserve">Subscription tier</t>
  </si>
  <si>
    <t xml:space="preserve">Mojave Coffee</t>
  </si>
  <si>
    <t xml:space="preserve">Sam Wu</t>
  </si>
  <si>
    <t xml:space="preserve">+1 702 555 0411</t>
  </si>
  <si>
    <t xml:space="preserve">Cafe</t>
  </si>
  <si>
    <t xml:space="preserve">2026-05-16</t>
  </si>
  <si>
    <t xml:space="preserve">Standard</t>
  </si>
  <si>
    <t xml:space="preserve">Henderson Salon</t>
  </si>
  <si>
    <t xml:space="preserve">Lila Ortega</t>
  </si>
  <si>
    <t xml:space="preserve">+1 702 555 0512</t>
  </si>
  <si>
    <t xml:space="preserve">Salon / beauty</t>
  </si>
  <si>
    <t xml:space="preserve">2026-05-17</t>
  </si>
  <si>
    <t xml:space="preserve">2026-05-19</t>
  </si>
  <si>
    <t xml:space="preserve">GreenStrip Gym</t>
  </si>
  <si>
    <t xml:space="preserve">Marcus Lee</t>
  </si>
  <si>
    <t xml:space="preserve">+1 702 555 0613</t>
  </si>
  <si>
    <t xml:space="preserve">Gym / fitness</t>
  </si>
  <si>
    <t xml:space="preserve">2026-05-20</t>
  </si>
  <si>
    <t xml:space="preserve">2026-05-22</t>
  </si>
  <si>
    <t xml:space="preserve">CONTENT METRICS</t>
  </si>
  <si>
    <t xml:space="preserve">Update Sunday. One row per piece of content. Patterns matter more than absolute numbers.</t>
  </si>
  <si>
    <t xml:space="preserve">Date posted</t>
  </si>
  <si>
    <t xml:space="preserve">Type</t>
  </si>
  <si>
    <t xml:space="preserve">Title / topic (short)</t>
  </si>
  <si>
    <t xml:space="preserve">Impressions</t>
  </si>
  <si>
    <t xml:space="preserve">Engagements</t>
  </si>
  <si>
    <t xml:space="preserve">Clicks</t>
  </si>
  <si>
    <t xml:space="preserve">DMs received</t>
  </si>
  <si>
    <t xml:space="preserve">Conversion to call</t>
  </si>
  <si>
    <t xml:space="preserve">LinkedIn</t>
  </si>
  <si>
    <t xml:space="preserve">Post</t>
  </si>
  <si>
    <t xml:space="preserve">Founder launch — '25 in Vegas'</t>
  </si>
  <si>
    <t xml:space="preserve">Top performer week 1</t>
  </si>
  <si>
    <t xml:space="preserve">IG Reels</t>
  </si>
  <si>
    <t xml:space="preserve">Reel</t>
  </si>
  <si>
    <t xml:space="preserve">What is LYMX in 60 sec</t>
  </si>
  <si>
    <t xml:space="preserve">Saved 32 times</t>
  </si>
  <si>
    <t xml:space="preserve">The Vegas math</t>
  </si>
  <si>
    <t xml:space="preserve">$ amounts in carousel slide 2</t>
  </si>
  <si>
    <t xml:space="preserve">2026-05-14</t>
  </si>
  <si>
    <t xml:space="preserve">Cold batch #1</t>
  </si>
  <si>
    <t xml:space="preserve">100 sends (3 variants A/B/C)</t>
  </si>
  <si>
    <t xml:space="preserve">Variant B opened best</t>
  </si>
  <si>
    <t xml:space="preserve">WEEKLY REVIEW — Sunday log</t>
  </si>
  <si>
    <t xml:space="preserve">Same five questions every Sunday. Patterns emerge by week 3. Be honest with yourself.</t>
  </si>
  <si>
    <t xml:space="preserve">QUESTION</t>
  </si>
  <si>
    <t xml:space="preserve">Week 1
Sun May 17, 2026</t>
  </si>
  <si>
    <t xml:space="preserve">Week 2
Sun May 24, 2026</t>
  </si>
  <si>
    <t xml:space="preserve">Week 3
Sun May 31, 2026</t>
  </si>
  <si>
    <t xml:space="preserve">Week 4
Sun Jun 07, 2026</t>
  </si>
  <si>
    <t xml:space="preserve">Partner signups this week</t>
  </si>
  <si>
    <t xml:space="preserve">Business activations this week</t>
  </si>
  <si>
    <t xml:space="preserve">Top-performing content piece</t>
  </si>
  <si>
    <t xml:space="preserve">Worst-performing piece (and why)</t>
  </si>
  <si>
    <t xml:space="preserve">One thing to change next week</t>
  </si>
  <si>
    <t xml:space="preserve">Energy level (1–10)</t>
  </si>
  <si>
    <t xml:space="preserve">Anything I'm avoiding?</t>
  </si>
  <si>
    <t xml:space="preserve">FOUNDER DINNER — RSVP</t>
  </si>
  <si>
    <t xml:space="preserve">Thursday May 28, 7 pm — Las Vegas. 12 invited seats.</t>
  </si>
  <si>
    <t xml:space="preserve">Seat #</t>
  </si>
  <si>
    <t xml:space="preserve">Invitation sent (date)</t>
  </si>
  <si>
    <t xml:space="preserve">Confirmed (date)</t>
  </si>
  <si>
    <t xml:space="preserve">Dietary</t>
  </si>
  <si>
    <t xml:space="preserve">Reminded (date)</t>
  </si>
  <si>
    <t xml:space="preserve">Attended?</t>
  </si>
  <si>
    <t xml:space="preserve">Followed up (date)</t>
  </si>
  <si>
    <t xml:space="preserve">Confirmed total →</t>
  </si>
  <si>
    <t xml:space="preserve">Seats remaining →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</si>
</sst>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\$#,##0"/>
    <numFmt numFmtId="168" formatCode="0.0%"/>
    <numFmt numFmtId="169" formatCode="yyyy\-mm\-dd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E1B36"/>
      <name val="Arial"/>
      <family val="0"/>
      <charset val="1"/>
    </font>
    <font>
      <b val="true"/>
      <sz val="20"/>
      <color rgb="FF0E1B36"/>
      <name val="Arial"/>
      <family val="0"/>
      <charset val="1"/>
    </font>
    <font>
      <i val="true"/>
      <sz val="11"/>
      <color rgb="FF7A8294"/>
      <name val="Arial"/>
      <family val="0"/>
      <charset val="1"/>
    </font>
    <font>
      <b val="true"/>
      <sz val="12"/>
      <color rgb="FFB68B45"/>
      <name val="Arial"/>
      <family val="0"/>
      <charset val="1"/>
    </font>
    <font>
      <b val="true"/>
      <sz val="14"/>
      <color rgb="FFB68B45"/>
      <name val="Arial"/>
      <family val="0"/>
      <charset val="1"/>
    </font>
    <font>
      <i val="true"/>
      <sz val="10"/>
      <color rgb="FF7A8294"/>
      <name val="Arial"/>
      <family val="0"/>
      <charset val="1"/>
    </font>
    <font>
      <b val="true"/>
      <sz val="11"/>
      <color rgb="FFB68B45"/>
      <name val="Arial"/>
      <family val="0"/>
      <charset val="1"/>
    </font>
    <font>
      <b val="true"/>
      <sz val="14"/>
      <color rgb="FF0E1B36"/>
      <name val="Arial"/>
      <family val="0"/>
      <charset val="1"/>
    </font>
    <font>
      <sz val="11"/>
      <color rgb="FF7A8294"/>
      <name val="Arial"/>
      <family val="0"/>
      <charset val="1"/>
    </font>
    <font>
      <i val="true"/>
      <sz val="12"/>
      <color rgb="FF7A8294"/>
      <name val="Arial"/>
      <family val="0"/>
      <charset val="1"/>
    </font>
    <font>
      <sz val="12"/>
      <color rgb="FF0E1B36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0"/>
      <color rgb="FFF6F1E8"/>
      <name val="Arial"/>
      <family val="0"/>
      <charset val="1"/>
    </font>
    <font>
      <sz val="10"/>
      <color rgb="FF7A8294"/>
      <name val="Arial"/>
      <family val="0"/>
      <charset val="1"/>
    </font>
    <font>
      <i val="true"/>
      <sz val="9"/>
      <color rgb="FF7A8294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B68B45"/>
      <name val="Arial"/>
      <family val="0"/>
      <charset val="1"/>
    </font>
    <font>
      <b val="true"/>
      <sz val="10"/>
      <color rgb="FF0E1B3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1B36"/>
        <bgColor rgb="FF003300"/>
      </patternFill>
    </fill>
    <fill>
      <patternFill patternType="solid">
        <fgColor rgb="FFEBE7DE"/>
        <bgColor rgb="FFF6F1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EBE7DE"/>
      </left>
      <right style="hair">
        <color rgb="FFEBE7DE"/>
      </right>
      <top style="medium">
        <color rgb="FF0E1B36"/>
      </top>
      <bottom style="medium">
        <color rgb="FF0E1B36"/>
      </bottom>
      <diagonal/>
    </border>
    <border diagonalUp="false" diagonalDown="false">
      <left style="hair">
        <color rgb="FFEBE7DE"/>
      </left>
      <right style="hair">
        <color rgb="FFEBE7DE"/>
      </right>
      <top style="hair">
        <color rgb="FFEBE7DE"/>
      </top>
      <bottom style="hair">
        <color rgb="FFEBE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6F1E8"/>
      </font>
      <fill>
        <patternFill>
          <bgColor rgb="FFB68B45"/>
        </patternFill>
      </fill>
    </dxf>
  </dxfs>
  <colors>
    <indexedColors>
      <rgbColor rgb="FF000000"/>
      <rgbColor rgb="FFF6F1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294"/>
      <rgbColor rgb="FF9999FF"/>
      <rgbColor rgb="FF993366"/>
      <rgbColor rgb="FFEBE7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68B45"/>
      <rgbColor rgb="FF0E1B3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15" hidden="false" customHeight="false" outlineLevel="0" collapsed="false">
      <c r="B1" s="1"/>
    </row>
    <row r="2" customFormat="false" ht="24.4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1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1"/>
    </row>
    <row r="7" customFormat="false" ht="15" hidden="false" customHeight="false" outlineLevel="0" collapsed="false">
      <c r="B7" s="1" t="s">
        <v>3</v>
      </c>
    </row>
    <row r="8" customFormat="false" ht="15" hidden="false" customHeight="false" outlineLevel="0" collapsed="false">
      <c r="B8" s="1"/>
    </row>
    <row r="9" customFormat="false" ht="15" hidden="false" customHeight="false" outlineLevel="0" collapsed="false">
      <c r="B9" s="1" t="s">
        <v>4</v>
      </c>
    </row>
    <row r="10" customFormat="false" ht="15" hidden="false" customHeight="false" outlineLevel="0" collapsed="false">
      <c r="B10" s="1" t="s">
        <v>5</v>
      </c>
    </row>
    <row r="11" customFormat="false" ht="15" hidden="false" customHeight="false" outlineLevel="0" collapsed="false">
      <c r="B11" s="1"/>
    </row>
    <row r="12" customFormat="false" ht="15" hidden="false" customHeight="false" outlineLevel="0" collapsed="false">
      <c r="B12" s="1" t="s">
        <v>6</v>
      </c>
    </row>
    <row r="13" customFormat="false" ht="15" hidden="false" customHeight="false" outlineLevel="0" collapsed="false">
      <c r="B13" s="1" t="s">
        <v>7</v>
      </c>
    </row>
    <row r="14" customFormat="false" ht="15" hidden="false" customHeight="false" outlineLevel="0" collapsed="false">
      <c r="B14" s="1"/>
    </row>
    <row r="15" customFormat="false" ht="15" hidden="false" customHeight="false" outlineLevel="0" collapsed="false">
      <c r="B15" s="1" t="s">
        <v>8</v>
      </c>
    </row>
    <row r="16" customFormat="false" ht="15" hidden="false" customHeight="false" outlineLevel="0" collapsed="false">
      <c r="B16" s="1" t="s">
        <v>9</v>
      </c>
    </row>
    <row r="17" customFormat="false" ht="15" hidden="false" customHeight="false" outlineLevel="0" collapsed="false">
      <c r="B17" s="1"/>
    </row>
    <row r="18" customFormat="false" ht="15" hidden="false" customHeight="false" outlineLevel="0" collapsed="false">
      <c r="B18" s="1" t="s">
        <v>10</v>
      </c>
    </row>
    <row r="19" customFormat="false" ht="15" hidden="false" customHeight="false" outlineLevel="0" collapsed="false">
      <c r="B19" s="1" t="s">
        <v>11</v>
      </c>
    </row>
    <row r="20" customFormat="false" ht="15" hidden="false" customHeight="false" outlineLevel="0" collapsed="false">
      <c r="B20" s="1"/>
    </row>
    <row r="21" customFormat="false" ht="15" hidden="false" customHeight="false" outlineLevel="0" collapsed="false">
      <c r="B21" s="1" t="s">
        <v>12</v>
      </c>
    </row>
    <row r="22" customFormat="false" ht="15" hidden="false" customHeight="false" outlineLevel="0" collapsed="false">
      <c r="B22" s="1" t="s">
        <v>13</v>
      </c>
    </row>
    <row r="23" customFormat="false" ht="15" hidden="false" customHeight="false" outlineLevel="0" collapsed="false">
      <c r="B23" s="1"/>
    </row>
    <row r="24" customFormat="false" ht="15" hidden="false" customHeight="false" outlineLevel="0" collapsed="false">
      <c r="B24" s="1" t="s">
        <v>14</v>
      </c>
    </row>
    <row r="25" customFormat="false" ht="15" hidden="false" customHeight="false" outlineLevel="0" collapsed="false">
      <c r="B25" s="1" t="s">
        <v>15</v>
      </c>
    </row>
    <row r="26" customFormat="false" ht="15" hidden="false" customHeight="false" outlineLevel="0" collapsed="false">
      <c r="B26" s="1"/>
    </row>
    <row r="27" customFormat="false" ht="15" hidden="false" customHeight="false" outlineLevel="0" collapsed="false">
      <c r="B27" s="1"/>
    </row>
    <row r="28" customFormat="false" ht="15" hidden="false" customHeight="false" outlineLevel="0" collapsed="false">
      <c r="B28" s="4" t="s">
        <v>16</v>
      </c>
    </row>
    <row r="29" customFormat="false" ht="15" hidden="false" customHeight="false" outlineLevel="0" collapsed="false">
      <c r="B29" s="1"/>
    </row>
    <row r="30" customFormat="false" ht="15" hidden="false" customHeight="false" outlineLevel="0" collapsed="false">
      <c r="B30" s="1" t="s">
        <v>17</v>
      </c>
    </row>
    <row r="31" customFormat="false" ht="15" hidden="false" customHeight="false" outlineLevel="0" collapsed="false">
      <c r="B31" s="1" t="s">
        <v>18</v>
      </c>
    </row>
    <row r="32" customFormat="false" ht="15" hidden="false" customHeight="false" outlineLevel="0" collapsed="false">
      <c r="B32" s="1" t="s">
        <v>19</v>
      </c>
    </row>
    <row r="33" customFormat="false" ht="15" hidden="false" customHeight="false" outlineLevel="0" collapsed="false">
      <c r="B33" s="1" t="s">
        <v>20</v>
      </c>
    </row>
    <row r="34" customFormat="false" ht="15" hidden="false" customHeight="false" outlineLevel="0" collapsed="false">
      <c r="B34" s="1"/>
    </row>
    <row r="35" customFormat="false" ht="15" hidden="false" customHeight="false" outlineLevel="0" collapsed="false">
      <c r="B35" s="1"/>
    </row>
    <row r="36" customFormat="false" ht="15" hidden="false" customHeight="false" outlineLevel="0" collapsed="false">
      <c r="B36" s="4" t="s">
        <v>21</v>
      </c>
    </row>
    <row r="37" customFormat="false" ht="15" hidden="false" customHeight="false" outlineLevel="0" collapsed="false">
      <c r="B37" s="1"/>
    </row>
    <row r="38" customFormat="false" ht="15" hidden="false" customHeight="false" outlineLevel="0" collapsed="false">
      <c r="B38" s="1" t="s">
        <v>22</v>
      </c>
    </row>
    <row r="39" customFormat="false" ht="15" hidden="false" customHeight="false" outlineLevel="0" collapsed="false">
      <c r="B39" s="1" t="s">
        <v>23</v>
      </c>
    </row>
    <row r="40" customFormat="false" ht="15" hidden="false" customHeight="false" outlineLevel="0" collapsed="false">
      <c r="B40" s="1" t="s">
        <v>24</v>
      </c>
    </row>
    <row r="41" customFormat="false" ht="15" hidden="false" customHeight="false" outlineLevel="0" collapsed="false">
      <c r="B41" s="1" t="s">
        <v>25</v>
      </c>
    </row>
    <row r="42" customFormat="false" ht="15" hidden="false" customHeight="false" outlineLevel="0" collapsed="false">
      <c r="B42" s="1"/>
    </row>
    <row r="43" customFormat="false" ht="15" hidden="false" customHeight="false" outlineLevel="0" collapsed="false">
      <c r="B43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36"/>
  </cols>
  <sheetData>
    <row r="2" customFormat="false" ht="17.35" hidden="false" customHeight="false" outlineLevel="0" collapsed="false">
      <c r="B2" s="5" t="s">
        <v>27</v>
      </c>
    </row>
    <row r="3" customFormat="false" ht="15" hidden="false" customHeight="false" outlineLevel="0" collapsed="false">
      <c r="B3" s="6" t="s">
        <v>28</v>
      </c>
    </row>
    <row r="5" customFormat="false" ht="15" hidden="false" customHeight="false" outlineLevel="0" collapsed="false">
      <c r="B5" s="7" t="s">
        <v>29</v>
      </c>
    </row>
    <row r="6" customFormat="false" ht="17.35" hidden="false" customHeight="false" outlineLevel="0" collapsed="false">
      <c r="B6" s="8" t="s">
        <v>30</v>
      </c>
      <c r="C6" s="9" t="n">
        <f aca="false">COUNTA('Activated Partners'!B4:B100)-COUNTBLANK('Activated Partners'!B4:B100)</f>
        <v>-91</v>
      </c>
      <c r="D6" s="10" t="s">
        <v>31</v>
      </c>
      <c r="E6" s="11" t="n">
        <v>50</v>
      </c>
      <c r="G6" s="6" t="s">
        <v>32</v>
      </c>
    </row>
    <row r="7" customFormat="false" ht="17.35" hidden="false" customHeight="false" outlineLevel="0" collapsed="false">
      <c r="B7" s="8" t="s">
        <v>33</v>
      </c>
      <c r="C7" s="9" t="n">
        <f aca="false">COUNTA('Business Activations'!B4:B500)-COUNTBLANK('Business Activations'!B4:B500)</f>
        <v>-491</v>
      </c>
      <c r="D7" s="10" t="s">
        <v>31</v>
      </c>
      <c r="E7" s="11" t="n">
        <v>100</v>
      </c>
      <c r="G7" s="6" t="s">
        <v>32</v>
      </c>
    </row>
    <row r="8" customFormat="false" ht="17.35" hidden="false" customHeight="false" outlineLevel="0" collapsed="false">
      <c r="B8" s="8" t="s">
        <v>34</v>
      </c>
      <c r="C8" s="9" t="n">
        <f aca="false">COUNTIF('Activated Partners'!H4:H100,"&gt;=5")</f>
        <v>0</v>
      </c>
      <c r="D8" s="10" t="s">
        <v>31</v>
      </c>
      <c r="E8" s="11" t="n">
        <v>5</v>
      </c>
      <c r="G8" s="6" t="s">
        <v>32</v>
      </c>
    </row>
    <row r="9" customFormat="false" ht="17.35" hidden="false" customHeight="false" outlineLevel="0" collapsed="false">
      <c r="B9" s="8" t="s">
        <v>35</v>
      </c>
      <c r="C9" s="9" t="n">
        <f aca="false">COUNTIF('Activated Partners'!I4:I100,"YES")</f>
        <v>0</v>
      </c>
      <c r="D9" s="10" t="s">
        <v>31</v>
      </c>
      <c r="E9" s="11" t="n">
        <v>3</v>
      </c>
      <c r="G9" s="6" t="s">
        <v>36</v>
      </c>
    </row>
    <row r="10" customFormat="false" ht="17.35" hidden="false" customHeight="false" outlineLevel="0" collapsed="false">
      <c r="B10" s="8" t="s">
        <v>37</v>
      </c>
      <c r="C10" s="9" t="n">
        <f aca="false">COUNTIF('Founder Dinner RSVP'!E4:E20,"Confirmed")</f>
        <v>0</v>
      </c>
      <c r="D10" s="10" t="s">
        <v>31</v>
      </c>
      <c r="E10" s="11" t="n">
        <v>12</v>
      </c>
      <c r="G10" s="6" t="s">
        <v>38</v>
      </c>
    </row>
    <row r="13" customFormat="false" ht="15" hidden="false" customHeight="false" outlineLevel="0" collapsed="false">
      <c r="B13" s="7" t="s">
        <v>39</v>
      </c>
      <c r="E13" s="7" t="s">
        <v>40</v>
      </c>
    </row>
    <row r="14" customFormat="false" ht="15" hidden="false" customHeight="false" outlineLevel="0" collapsed="false">
      <c r="B14" s="8" t="s">
        <v>41</v>
      </c>
      <c r="C14" s="12" t="n">
        <f aca="false">COUNTA('Partner Pipeline'!B4:B500)-COUNTBLANK('Partner Pipeline'!B4:B500)</f>
        <v>-489</v>
      </c>
      <c r="E14" s="8" t="s">
        <v>42</v>
      </c>
      <c r="G14" s="13" t="n">
        <f aca="false">IFERROR(C7/C6,0)</f>
        <v>5.3956043956044</v>
      </c>
    </row>
    <row r="15" customFormat="false" ht="15" hidden="false" customHeight="false" outlineLevel="0" collapsed="false">
      <c r="B15" s="8" t="s">
        <v>43</v>
      </c>
      <c r="C15" s="12" t="n">
        <f aca="false">COUNTIF('Partner Pipeline'!H4:H500,"&lt;&gt;")</f>
        <v>4</v>
      </c>
      <c r="E15" s="8" t="s">
        <v>44</v>
      </c>
      <c r="G15" s="14" t="n">
        <f aca="false">IFERROR(MEDIAN('Activated Partners'!H4:H100),0)</f>
        <v>1</v>
      </c>
    </row>
    <row r="16" customFormat="false" ht="15" hidden="false" customHeight="false" outlineLevel="0" collapsed="false">
      <c r="B16" s="8" t="s">
        <v>45</v>
      </c>
      <c r="C16" s="12" t="n">
        <f aca="false">COUNTIF('Partner Pipeline'!J4:J500,"&lt;&gt;")</f>
        <v>3</v>
      </c>
      <c r="E16" s="8" t="s">
        <v>46</v>
      </c>
      <c r="G16" s="15" t="n">
        <f aca="false">'Activated Partners'!K2</f>
        <v>2250</v>
      </c>
    </row>
    <row r="17" customFormat="false" ht="15" hidden="false" customHeight="false" outlineLevel="0" collapsed="false">
      <c r="B17" s="8" t="s">
        <v>47</v>
      </c>
      <c r="C17" s="12" t="n">
        <f aca="false">COUNTIF('Partner Pipeline'!K4:K500,"&lt;&gt;")</f>
        <v>2</v>
      </c>
      <c r="E17" s="8" t="s">
        <v>48</v>
      </c>
      <c r="G17" s="15" t="n">
        <f aca="false">'Activated Partners'!L2</f>
        <v>66</v>
      </c>
    </row>
    <row r="18" customFormat="false" ht="15" hidden="false" customHeight="false" outlineLevel="0" collapsed="false">
      <c r="B18" s="8" t="s">
        <v>49</v>
      </c>
      <c r="C18" s="12" t="n">
        <f aca="false">COUNTIF('Partner Pipeline'!L4:L500,"Signed up")</f>
        <v>0</v>
      </c>
    </row>
    <row r="19" customFormat="false" ht="15" hidden="false" customHeight="false" outlineLevel="0" collapsed="false">
      <c r="B19" s="8" t="s">
        <v>50</v>
      </c>
      <c r="C19" s="12" t="n">
        <f aca="false">COUNTIF('Partner Pipeline'!L4:L500,"Dropped")+COUNTIF('Partner Pipeline'!L4:L500,"Declined")</f>
        <v>0</v>
      </c>
    </row>
    <row r="20" customFormat="false" ht="15" hidden="false" customHeight="false" outlineLevel="0" collapsed="false">
      <c r="B20" s="8" t="s">
        <v>51</v>
      </c>
      <c r="C20" s="16" t="n">
        <f aca="false">IFERROR(C18/C17,0)</f>
        <v>0</v>
      </c>
    </row>
    <row r="23" customFormat="false" ht="15" hidden="false" customHeight="false" outlineLevel="0" collapsed="false">
      <c r="B23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9" min="7" style="0" width="14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36"/>
  </cols>
  <sheetData>
    <row r="1" customFormat="false" ht="17.35" hidden="false" customHeight="false" outlineLevel="0" collapsed="false">
      <c r="A1" s="5" t="s">
        <v>53</v>
      </c>
    </row>
    <row r="2" customFormat="false" ht="15" hidden="false" customHeight="false" outlineLevel="0" collapsed="false">
      <c r="A2" s="6" t="s">
        <v>54</v>
      </c>
    </row>
    <row r="4" customFormat="false" ht="31.5" hidden="false" customHeight="true" outlineLevel="0" collapsed="false">
      <c r="A4" s="17" t="s">
        <v>55</v>
      </c>
      <c r="B4" s="17" t="s">
        <v>56</v>
      </c>
      <c r="C4" s="17" t="s">
        <v>57</v>
      </c>
      <c r="D4" s="17" t="s">
        <v>58</v>
      </c>
      <c r="E4" s="17" t="s">
        <v>59</v>
      </c>
      <c r="F4" s="17" t="s">
        <v>60</v>
      </c>
      <c r="G4" s="17" t="s">
        <v>61</v>
      </c>
      <c r="H4" s="17" t="s">
        <v>62</v>
      </c>
      <c r="I4" s="17" t="s">
        <v>63</v>
      </c>
      <c r="J4" s="17" t="s">
        <v>64</v>
      </c>
      <c r="K4" s="17" t="s">
        <v>65</v>
      </c>
      <c r="L4" s="17" t="s">
        <v>66</v>
      </c>
      <c r="M4" s="17" t="s">
        <v>67</v>
      </c>
    </row>
    <row r="5" customFormat="false" ht="15" hidden="false" customHeight="false" outlineLevel="0" collapsed="false">
      <c r="A5" s="1" t="n">
        <v>1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8" t="s">
        <v>74</v>
      </c>
      <c r="I5" s="18" t="s">
        <v>74</v>
      </c>
      <c r="J5" s="1" t="s">
        <v>75</v>
      </c>
      <c r="K5" s="18" t="s">
        <v>76</v>
      </c>
      <c r="L5" s="1" t="s">
        <v>77</v>
      </c>
      <c r="M5" s="1" t="s">
        <v>78</v>
      </c>
    </row>
    <row r="6" customFormat="false" ht="15" hidden="false" customHeight="false" outlineLevel="0" collapsed="false">
      <c r="A6" s="1" t="n">
        <v>2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58</v>
      </c>
      <c r="H6" s="18" t="s">
        <v>84</v>
      </c>
      <c r="I6" s="18" t="s">
        <v>84</v>
      </c>
      <c r="J6" s="1"/>
      <c r="K6" s="1"/>
      <c r="L6" s="1" t="s">
        <v>85</v>
      </c>
      <c r="M6" s="1" t="s">
        <v>86</v>
      </c>
    </row>
    <row r="7" customFormat="false" ht="23.85" hidden="false" customHeight="false" outlineLevel="0" collapsed="false">
      <c r="A7" s="1" t="n">
        <v>3</v>
      </c>
      <c r="B7" s="1" t="s">
        <v>87</v>
      </c>
      <c r="C7" s="1" t="s">
        <v>88</v>
      </c>
      <c r="D7" s="1" t="s">
        <v>89</v>
      </c>
      <c r="E7" s="1" t="s">
        <v>90</v>
      </c>
      <c r="F7" s="1" t="s">
        <v>72</v>
      </c>
      <c r="G7" s="1" t="s">
        <v>57</v>
      </c>
      <c r="H7" s="18" t="s">
        <v>74</v>
      </c>
      <c r="I7" s="18" t="s">
        <v>84</v>
      </c>
      <c r="J7" s="1" t="s">
        <v>91</v>
      </c>
      <c r="K7" s="1"/>
      <c r="L7" s="1" t="s">
        <v>92</v>
      </c>
      <c r="M7" s="1" t="s">
        <v>93</v>
      </c>
    </row>
    <row r="8" customFormat="false" ht="15" hidden="false" customHeight="false" outlineLevel="0" collapsed="false">
      <c r="A8" s="19" t="n">
        <v>4</v>
      </c>
    </row>
    <row r="9" customFormat="false" ht="15" hidden="false" customHeight="false" outlineLevel="0" collapsed="false">
      <c r="A9" s="19" t="n">
        <v>5</v>
      </c>
    </row>
    <row r="10" customFormat="false" ht="15" hidden="false" customHeight="false" outlineLevel="0" collapsed="false">
      <c r="A10" s="19" t="n">
        <v>6</v>
      </c>
    </row>
    <row r="11" customFormat="false" ht="15" hidden="false" customHeight="false" outlineLevel="0" collapsed="false">
      <c r="A11" s="19" t="n">
        <v>7</v>
      </c>
    </row>
    <row r="12" customFormat="false" ht="15" hidden="false" customHeight="false" outlineLevel="0" collapsed="false">
      <c r="A12" s="19" t="n">
        <v>8</v>
      </c>
    </row>
    <row r="13" customFormat="false" ht="15" hidden="false" customHeight="false" outlineLevel="0" collapsed="false">
      <c r="A13" s="19" t="n">
        <v>9</v>
      </c>
    </row>
    <row r="14" customFormat="false" ht="15" hidden="false" customHeight="false" outlineLevel="0" collapsed="false">
      <c r="A14" s="19" t="n">
        <v>10</v>
      </c>
    </row>
    <row r="15" customFormat="false" ht="15" hidden="false" customHeight="false" outlineLevel="0" collapsed="false">
      <c r="A15" s="19" t="n">
        <v>11</v>
      </c>
    </row>
    <row r="16" customFormat="false" ht="15" hidden="false" customHeight="false" outlineLevel="0" collapsed="false">
      <c r="A16" s="19" t="n">
        <v>12</v>
      </c>
    </row>
    <row r="17" customFormat="false" ht="15" hidden="false" customHeight="false" outlineLevel="0" collapsed="false">
      <c r="A17" s="19" t="n">
        <v>13</v>
      </c>
    </row>
    <row r="18" customFormat="false" ht="15" hidden="false" customHeight="false" outlineLevel="0" collapsed="false">
      <c r="A18" s="19" t="n">
        <v>14</v>
      </c>
    </row>
    <row r="19" customFormat="false" ht="15" hidden="false" customHeight="false" outlineLevel="0" collapsed="false">
      <c r="A19" s="19" t="n">
        <v>15</v>
      </c>
    </row>
    <row r="20" customFormat="false" ht="15" hidden="false" customHeight="false" outlineLevel="0" collapsed="false">
      <c r="A20" s="19" t="n">
        <v>16</v>
      </c>
    </row>
    <row r="21" customFormat="false" ht="15" hidden="false" customHeight="false" outlineLevel="0" collapsed="false">
      <c r="A21" s="19" t="n">
        <v>17</v>
      </c>
    </row>
    <row r="22" customFormat="false" ht="15" hidden="false" customHeight="false" outlineLevel="0" collapsed="false">
      <c r="A22" s="19" t="n">
        <v>18</v>
      </c>
    </row>
    <row r="23" customFormat="false" ht="15" hidden="false" customHeight="false" outlineLevel="0" collapsed="false">
      <c r="A23" s="19" t="n">
        <v>19</v>
      </c>
    </row>
    <row r="24" customFormat="false" ht="15" hidden="false" customHeight="false" outlineLevel="0" collapsed="false">
      <c r="A24" s="19" t="n">
        <v>20</v>
      </c>
    </row>
    <row r="25" customFormat="false" ht="15" hidden="false" customHeight="false" outlineLevel="0" collapsed="false">
      <c r="A25" s="19" t="n">
        <v>21</v>
      </c>
    </row>
    <row r="26" customFormat="false" ht="15" hidden="false" customHeight="false" outlineLevel="0" collapsed="false">
      <c r="A26" s="19" t="n">
        <v>22</v>
      </c>
    </row>
    <row r="27" customFormat="false" ht="15" hidden="false" customHeight="false" outlineLevel="0" collapsed="false">
      <c r="A27" s="19" t="n">
        <v>23</v>
      </c>
    </row>
    <row r="28" customFormat="false" ht="15" hidden="false" customHeight="false" outlineLevel="0" collapsed="false">
      <c r="A28" s="19" t="n">
        <v>24</v>
      </c>
    </row>
    <row r="29" customFormat="false" ht="15" hidden="false" customHeight="false" outlineLevel="0" collapsed="false">
      <c r="A29" s="19" t="n">
        <v>25</v>
      </c>
    </row>
    <row r="30" customFormat="false" ht="15" hidden="false" customHeight="false" outlineLevel="0" collapsed="false">
      <c r="A30" s="19" t="n">
        <v>26</v>
      </c>
    </row>
    <row r="31" customFormat="false" ht="15" hidden="false" customHeight="false" outlineLevel="0" collapsed="false">
      <c r="A31" s="19" t="n">
        <v>27</v>
      </c>
    </row>
    <row r="32" customFormat="false" ht="15" hidden="false" customHeight="false" outlineLevel="0" collapsed="false">
      <c r="A32" s="19" t="n">
        <v>28</v>
      </c>
    </row>
    <row r="33" customFormat="false" ht="15" hidden="false" customHeight="false" outlineLevel="0" collapsed="false">
      <c r="A33" s="19" t="n">
        <v>29</v>
      </c>
    </row>
    <row r="34" customFormat="false" ht="15" hidden="false" customHeight="false" outlineLevel="0" collapsed="false">
      <c r="A34" s="19" t="n">
        <v>30</v>
      </c>
    </row>
    <row r="35" customFormat="false" ht="15" hidden="false" customHeight="false" outlineLevel="0" collapsed="false">
      <c r="A35" s="19" t="n">
        <v>31</v>
      </c>
    </row>
    <row r="36" customFormat="false" ht="15" hidden="false" customHeight="false" outlineLevel="0" collapsed="false">
      <c r="A36" s="19" t="n">
        <v>32</v>
      </c>
    </row>
    <row r="37" customFormat="false" ht="15" hidden="false" customHeight="false" outlineLevel="0" collapsed="false">
      <c r="A37" s="19" t="n">
        <v>33</v>
      </c>
    </row>
    <row r="38" customFormat="false" ht="15" hidden="false" customHeight="false" outlineLevel="0" collapsed="false">
      <c r="A38" s="19" t="n">
        <v>34</v>
      </c>
    </row>
    <row r="39" customFormat="false" ht="15" hidden="false" customHeight="false" outlineLevel="0" collapsed="false">
      <c r="A39" s="19" t="n">
        <v>35</v>
      </c>
    </row>
    <row r="40" customFormat="false" ht="15" hidden="false" customHeight="false" outlineLevel="0" collapsed="false">
      <c r="A40" s="19" t="n">
        <v>36</v>
      </c>
    </row>
    <row r="41" customFormat="false" ht="15" hidden="false" customHeight="false" outlineLevel="0" collapsed="false">
      <c r="A41" s="19" t="n">
        <v>37</v>
      </c>
    </row>
    <row r="42" customFormat="false" ht="15" hidden="false" customHeight="false" outlineLevel="0" collapsed="false">
      <c r="A42" s="19" t="n">
        <v>38</v>
      </c>
    </row>
    <row r="43" customFormat="false" ht="15" hidden="false" customHeight="false" outlineLevel="0" collapsed="false">
      <c r="A43" s="19" t="n">
        <v>39</v>
      </c>
    </row>
    <row r="44" customFormat="false" ht="15" hidden="false" customHeight="false" outlineLevel="0" collapsed="false">
      <c r="A44" s="19" t="n">
        <v>40</v>
      </c>
    </row>
    <row r="45" customFormat="false" ht="15" hidden="false" customHeight="false" outlineLevel="0" collapsed="false">
      <c r="A45" s="19" t="n">
        <v>41</v>
      </c>
    </row>
    <row r="46" customFormat="false" ht="15" hidden="false" customHeight="false" outlineLevel="0" collapsed="false">
      <c r="A46" s="19" t="n">
        <v>42</v>
      </c>
    </row>
    <row r="47" customFormat="false" ht="15" hidden="false" customHeight="false" outlineLevel="0" collapsed="false">
      <c r="A47" s="19" t="n">
        <v>43</v>
      </c>
    </row>
    <row r="48" customFormat="false" ht="15" hidden="false" customHeight="false" outlineLevel="0" collapsed="false">
      <c r="A48" s="19" t="n">
        <v>44</v>
      </c>
    </row>
    <row r="49" customFormat="false" ht="15" hidden="false" customHeight="false" outlineLevel="0" collapsed="false">
      <c r="A49" s="19" t="n">
        <v>45</v>
      </c>
    </row>
    <row r="50" customFormat="false" ht="15" hidden="false" customHeight="false" outlineLevel="0" collapsed="false">
      <c r="A50" s="19" t="n">
        <v>46</v>
      </c>
    </row>
    <row r="51" customFormat="false" ht="15" hidden="false" customHeight="false" outlineLevel="0" collapsed="false">
      <c r="A51" s="19" t="n">
        <v>47</v>
      </c>
    </row>
    <row r="52" customFormat="false" ht="15" hidden="false" customHeight="false" outlineLevel="0" collapsed="false">
      <c r="A52" s="19" t="n">
        <v>48</v>
      </c>
    </row>
    <row r="53" customFormat="false" ht="15" hidden="false" customHeight="false" outlineLevel="0" collapsed="false">
      <c r="A53" s="19" t="n">
        <v>49</v>
      </c>
    </row>
    <row r="54" customFormat="false" ht="15" hidden="false" customHeight="false" outlineLevel="0" collapsed="false">
      <c r="A54" s="19" t="n">
        <v>50</v>
      </c>
    </row>
    <row r="55" customFormat="false" ht="15" hidden="false" customHeight="false" outlineLevel="0" collapsed="false">
      <c r="A55" s="19" t="n">
        <v>51</v>
      </c>
    </row>
    <row r="56" customFormat="false" ht="15" hidden="false" customHeight="false" outlineLevel="0" collapsed="false">
      <c r="A56" s="19" t="n">
        <v>52</v>
      </c>
    </row>
    <row r="57" customFormat="false" ht="15" hidden="false" customHeight="false" outlineLevel="0" collapsed="false">
      <c r="A57" s="19" t="n">
        <v>53</v>
      </c>
    </row>
    <row r="58" customFormat="false" ht="15" hidden="false" customHeight="false" outlineLevel="0" collapsed="false">
      <c r="A58" s="19" t="n">
        <v>54</v>
      </c>
    </row>
    <row r="59" customFormat="false" ht="15" hidden="false" customHeight="false" outlineLevel="0" collapsed="false">
      <c r="A59" s="19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5" t="s">
        <v>94</v>
      </c>
    </row>
    <row r="2" customFormat="false" ht="15" hidden="false" customHeight="false" outlineLevel="0" collapsed="false">
      <c r="A2" s="20" t="s">
        <v>95</v>
      </c>
      <c r="H2" s="21" t="n">
        <f aca="false">SUM(H4:H100)</f>
        <v>3</v>
      </c>
      <c r="K2" s="22" t="n">
        <f aca="false">SUM(K4:K100)</f>
        <v>2250</v>
      </c>
      <c r="L2" s="22" t="n">
        <f aca="false">SUM(L4:L100)</f>
        <v>66</v>
      </c>
    </row>
    <row r="3" customFormat="false" ht="31.5" hidden="false" customHeight="true" outlineLevel="0" collapsed="false">
      <c r="A3" s="17" t="s">
        <v>55</v>
      </c>
      <c r="B3" s="17" t="s">
        <v>96</v>
      </c>
      <c r="C3" s="17" t="s">
        <v>57</v>
      </c>
      <c r="D3" s="17" t="s">
        <v>58</v>
      </c>
      <c r="E3" s="17" t="s">
        <v>97</v>
      </c>
      <c r="F3" s="17" t="s">
        <v>98</v>
      </c>
      <c r="G3" s="17" t="s">
        <v>99</v>
      </c>
      <c r="H3" s="17" t="s">
        <v>100</v>
      </c>
      <c r="I3" s="17" t="s">
        <v>101</v>
      </c>
      <c r="J3" s="17" t="s">
        <v>102</v>
      </c>
      <c r="K3" s="17" t="s">
        <v>103</v>
      </c>
      <c r="L3" s="17" t="s">
        <v>104</v>
      </c>
      <c r="M3" s="17" t="s">
        <v>105</v>
      </c>
    </row>
    <row r="4" customFormat="false" ht="15" hidden="false" customHeight="false" outlineLevel="0" collapsed="false">
      <c r="A4" s="8" t="n">
        <v>1</v>
      </c>
      <c r="B4" s="8" t="s">
        <v>68</v>
      </c>
      <c r="C4" s="8" t="s">
        <v>69</v>
      </c>
      <c r="D4" s="8" t="s">
        <v>70</v>
      </c>
      <c r="E4" s="23" t="s">
        <v>76</v>
      </c>
      <c r="F4" s="24" t="n">
        <f aca="false">E4+30</f>
        <v>46185</v>
      </c>
      <c r="G4" s="25" t="n">
        <f aca="true">MAX(0,F4-TODAY())</f>
        <v>38</v>
      </c>
      <c r="H4" s="26" t="n">
        <f aca="false">COUNTIF('Business Activations'!E:E,B4)</f>
        <v>2</v>
      </c>
      <c r="I4" s="27" t="str">
        <f aca="false">IF(COUNTIFS('Business Activations'!E:E,B4,'Business Activations'!H:H,"&lt;="&amp;F4)&gt;=5,"YES","")</f>
        <v/>
      </c>
      <c r="J4" s="28" t="str">
        <f aca="false">IF(H4&gt;=5,"Qualified",IF(H4&gt;0,"In flight","—"))</f>
        <v>In flight</v>
      </c>
      <c r="K4" s="29" t="n">
        <f aca="false">H4*750+IF(I4="YES",1000,0)</f>
        <v>1500</v>
      </c>
      <c r="L4" s="29" t="n">
        <f aca="false">H4*22</f>
        <v>44</v>
      </c>
    </row>
    <row r="5" customFormat="false" ht="15" hidden="false" customHeight="false" outlineLevel="0" collapsed="false">
      <c r="A5" s="8" t="n">
        <v>2</v>
      </c>
      <c r="B5" s="8" t="s">
        <v>79</v>
      </c>
      <c r="C5" s="8" t="s">
        <v>80</v>
      </c>
      <c r="D5" s="8" t="s">
        <v>81</v>
      </c>
      <c r="E5" s="23" t="s">
        <v>106</v>
      </c>
      <c r="F5" s="24" t="n">
        <f aca="false">E5+30</f>
        <v>46187</v>
      </c>
      <c r="G5" s="25" t="n">
        <f aca="true">MAX(0,F5-TODAY())</f>
        <v>40</v>
      </c>
      <c r="H5" s="26" t="n">
        <f aca="false">COUNTIF('Business Activations'!E:E,B5)</f>
        <v>1</v>
      </c>
      <c r="I5" s="27" t="str">
        <f aca="false">IF(COUNTIFS('Business Activations'!E:E,B5,'Business Activations'!H:H,"&lt;="&amp;F5)&gt;=5,"YES","")</f>
        <v/>
      </c>
      <c r="J5" s="28" t="str">
        <f aca="false">IF(H5&gt;=5,"Qualified",IF(H5&gt;0,"In flight","—"))</f>
        <v>In flight</v>
      </c>
      <c r="K5" s="29" t="n">
        <f aca="false">H5*750+IF(I5="YES",1000,0)</f>
        <v>750</v>
      </c>
      <c r="L5" s="29" t="n">
        <f aca="false">H5*22</f>
        <v>22</v>
      </c>
    </row>
    <row r="6" customFormat="false" ht="15" hidden="false" customHeight="false" outlineLevel="0" collapsed="false">
      <c r="A6" s="8" t="n">
        <v>3</v>
      </c>
      <c r="B6" s="8" t="s">
        <v>87</v>
      </c>
      <c r="C6" s="8" t="s">
        <v>88</v>
      </c>
      <c r="D6" s="8" t="s">
        <v>89</v>
      </c>
      <c r="E6" s="23" t="s">
        <v>107</v>
      </c>
      <c r="F6" s="24" t="n">
        <f aca="false">E6+30</f>
        <v>46190</v>
      </c>
      <c r="G6" s="25" t="n">
        <f aca="true">MAX(0,F6-TODAY())</f>
        <v>43</v>
      </c>
      <c r="H6" s="26" t="n">
        <f aca="false">COUNTIF('Business Activations'!E:E,B6)</f>
        <v>0</v>
      </c>
      <c r="I6" s="27" t="str">
        <f aca="false">IF(COUNTIFS('Business Activations'!E:E,B6,'Business Activations'!H:H,"&lt;="&amp;F6)&gt;=5,"YES","")</f>
        <v/>
      </c>
      <c r="J6" s="28" t="str">
        <f aca="false">IF(H6&gt;=5,"Qualified",IF(H6&gt;0,"In flight","—"))</f>
        <v>—</v>
      </c>
      <c r="K6" s="29" t="n">
        <f aca="false">H6*750+IF(I6="YES",1000,0)</f>
        <v>0</v>
      </c>
      <c r="L6" s="29" t="n">
        <f aca="false">H6*22</f>
        <v>0</v>
      </c>
    </row>
    <row r="7" customFormat="false" ht="15" hidden="false" customHeight="false" outlineLevel="0" collapsed="false">
      <c r="A7" s="19" t="n">
        <v>4</v>
      </c>
    </row>
    <row r="8" customFormat="false" ht="15" hidden="false" customHeight="false" outlineLevel="0" collapsed="false">
      <c r="A8" s="19" t="n">
        <v>5</v>
      </c>
    </row>
    <row r="9" customFormat="false" ht="15" hidden="false" customHeight="false" outlineLevel="0" collapsed="false">
      <c r="A9" s="19" t="n">
        <v>6</v>
      </c>
    </row>
    <row r="10" customFormat="false" ht="15" hidden="false" customHeight="false" outlineLevel="0" collapsed="false">
      <c r="A10" s="19" t="n">
        <v>7</v>
      </c>
    </row>
    <row r="11" customFormat="false" ht="15" hidden="false" customHeight="false" outlineLevel="0" collapsed="false">
      <c r="A11" s="19" t="n">
        <v>8</v>
      </c>
    </row>
    <row r="12" customFormat="false" ht="15" hidden="false" customHeight="false" outlineLevel="0" collapsed="false">
      <c r="A12" s="19" t="n">
        <v>9</v>
      </c>
    </row>
    <row r="13" customFormat="false" ht="15" hidden="false" customHeight="false" outlineLevel="0" collapsed="false">
      <c r="A13" s="19" t="n">
        <v>10</v>
      </c>
    </row>
    <row r="14" customFormat="false" ht="15" hidden="false" customHeight="false" outlineLevel="0" collapsed="false">
      <c r="A14" s="19" t="n">
        <v>11</v>
      </c>
    </row>
    <row r="15" customFormat="false" ht="15" hidden="false" customHeight="false" outlineLevel="0" collapsed="false">
      <c r="A15" s="19" t="n">
        <v>12</v>
      </c>
    </row>
    <row r="16" customFormat="false" ht="15" hidden="false" customHeight="false" outlineLevel="0" collapsed="false">
      <c r="A16" s="19" t="n">
        <v>13</v>
      </c>
    </row>
    <row r="17" customFormat="false" ht="15" hidden="false" customHeight="false" outlineLevel="0" collapsed="false">
      <c r="A17" s="19" t="n">
        <v>14</v>
      </c>
    </row>
    <row r="18" customFormat="false" ht="15" hidden="false" customHeight="false" outlineLevel="0" collapsed="false">
      <c r="A18" s="19" t="n">
        <v>15</v>
      </c>
    </row>
    <row r="19" customFormat="false" ht="15" hidden="false" customHeight="false" outlineLevel="0" collapsed="false">
      <c r="A19" s="19" t="n">
        <v>16</v>
      </c>
    </row>
    <row r="20" customFormat="false" ht="15" hidden="false" customHeight="false" outlineLevel="0" collapsed="false">
      <c r="A20" s="19" t="n">
        <v>17</v>
      </c>
    </row>
    <row r="21" customFormat="false" ht="15" hidden="false" customHeight="false" outlineLevel="0" collapsed="false">
      <c r="A21" s="19" t="n">
        <v>18</v>
      </c>
    </row>
    <row r="22" customFormat="false" ht="15" hidden="false" customHeight="false" outlineLevel="0" collapsed="false">
      <c r="A22" s="19" t="n">
        <v>19</v>
      </c>
    </row>
    <row r="23" customFormat="false" ht="15" hidden="false" customHeight="false" outlineLevel="0" collapsed="false">
      <c r="A23" s="19" t="n">
        <v>20</v>
      </c>
    </row>
    <row r="24" customFormat="false" ht="15" hidden="false" customHeight="false" outlineLevel="0" collapsed="false">
      <c r="A24" s="19" t="n">
        <v>21</v>
      </c>
    </row>
    <row r="25" customFormat="false" ht="15" hidden="false" customHeight="false" outlineLevel="0" collapsed="false">
      <c r="A25" s="19" t="n">
        <v>22</v>
      </c>
    </row>
    <row r="26" customFormat="false" ht="15" hidden="false" customHeight="false" outlineLevel="0" collapsed="false">
      <c r="A26" s="19" t="n">
        <v>23</v>
      </c>
    </row>
    <row r="27" customFormat="false" ht="15" hidden="false" customHeight="false" outlineLevel="0" collapsed="false">
      <c r="A27" s="19" t="n">
        <v>24</v>
      </c>
    </row>
    <row r="28" customFormat="false" ht="15" hidden="false" customHeight="false" outlineLevel="0" collapsed="false">
      <c r="A28" s="19" t="n">
        <v>25</v>
      </c>
    </row>
    <row r="29" customFormat="false" ht="15" hidden="false" customHeight="false" outlineLevel="0" collapsed="false">
      <c r="A29" s="19" t="n">
        <v>26</v>
      </c>
    </row>
    <row r="30" customFormat="false" ht="15" hidden="false" customHeight="false" outlineLevel="0" collapsed="false">
      <c r="A30" s="19" t="n">
        <v>27</v>
      </c>
    </row>
    <row r="31" customFormat="false" ht="15" hidden="false" customHeight="false" outlineLevel="0" collapsed="false">
      <c r="A31" s="19" t="n">
        <v>28</v>
      </c>
    </row>
    <row r="32" customFormat="false" ht="15" hidden="false" customHeight="false" outlineLevel="0" collapsed="false">
      <c r="A32" s="19" t="n">
        <v>29</v>
      </c>
    </row>
    <row r="33" customFormat="false" ht="15" hidden="false" customHeight="false" outlineLevel="0" collapsed="false">
      <c r="A33" s="19" t="n">
        <v>30</v>
      </c>
    </row>
    <row r="34" customFormat="false" ht="15" hidden="false" customHeight="false" outlineLevel="0" collapsed="false">
      <c r="A34" s="19" t="n">
        <v>31</v>
      </c>
    </row>
    <row r="35" customFormat="false" ht="15" hidden="false" customHeight="false" outlineLevel="0" collapsed="false">
      <c r="A35" s="19" t="n">
        <v>32</v>
      </c>
    </row>
    <row r="36" customFormat="false" ht="15" hidden="false" customHeight="false" outlineLevel="0" collapsed="false">
      <c r="A36" s="19" t="n">
        <v>33</v>
      </c>
    </row>
    <row r="37" customFormat="false" ht="15" hidden="false" customHeight="false" outlineLevel="0" collapsed="false">
      <c r="A37" s="19" t="n">
        <v>34</v>
      </c>
    </row>
    <row r="38" customFormat="false" ht="15" hidden="false" customHeight="false" outlineLevel="0" collapsed="false">
      <c r="A38" s="19" t="n">
        <v>35</v>
      </c>
    </row>
    <row r="39" customFormat="false" ht="15" hidden="false" customHeight="false" outlineLevel="0" collapsed="false">
      <c r="A39" s="19" t="n">
        <v>36</v>
      </c>
    </row>
    <row r="40" customFormat="false" ht="15" hidden="false" customHeight="false" outlineLevel="0" collapsed="false">
      <c r="A40" s="19" t="n">
        <v>37</v>
      </c>
    </row>
    <row r="41" customFormat="false" ht="15" hidden="false" customHeight="false" outlineLevel="0" collapsed="false">
      <c r="A41" s="19" t="n">
        <v>38</v>
      </c>
    </row>
    <row r="42" customFormat="false" ht="15" hidden="false" customHeight="false" outlineLevel="0" collapsed="false">
      <c r="A42" s="19" t="n">
        <v>39</v>
      </c>
    </row>
    <row r="43" customFormat="false" ht="15" hidden="false" customHeight="false" outlineLevel="0" collapsed="false">
      <c r="A43" s="19" t="n">
        <v>40</v>
      </c>
    </row>
    <row r="44" customFormat="false" ht="15" hidden="false" customHeight="false" outlineLevel="0" collapsed="false">
      <c r="A44" s="19" t="n">
        <v>41</v>
      </c>
    </row>
    <row r="45" customFormat="false" ht="15" hidden="false" customHeight="false" outlineLevel="0" collapsed="false">
      <c r="A45" s="19" t="n">
        <v>42</v>
      </c>
    </row>
    <row r="46" customFormat="false" ht="15" hidden="false" customHeight="false" outlineLevel="0" collapsed="false">
      <c r="A46" s="19" t="n">
        <v>43</v>
      </c>
    </row>
    <row r="47" customFormat="false" ht="15" hidden="false" customHeight="false" outlineLevel="0" collapsed="false">
      <c r="A47" s="19" t="n">
        <v>44</v>
      </c>
    </row>
    <row r="48" customFormat="false" ht="15" hidden="false" customHeight="false" outlineLevel="0" collapsed="false">
      <c r="A48" s="19" t="n">
        <v>45</v>
      </c>
    </row>
    <row r="49" customFormat="false" ht="15" hidden="false" customHeight="false" outlineLevel="0" collapsed="false">
      <c r="A49" s="19" t="n">
        <v>46</v>
      </c>
    </row>
  </sheetData>
  <conditionalFormatting sqref="I4:I100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5" t="s">
        <v>108</v>
      </c>
    </row>
    <row r="2" customFormat="false" ht="15" hidden="false" customHeight="false" outlineLevel="0" collapsed="false">
      <c r="A2" s="6" t="s">
        <v>109</v>
      </c>
    </row>
    <row r="3" customFormat="false" ht="31.5" hidden="false" customHeight="true" outlineLevel="0" collapsed="false">
      <c r="A3" s="17" t="s">
        <v>55</v>
      </c>
      <c r="B3" s="17" t="s">
        <v>110</v>
      </c>
      <c r="C3" s="17" t="s">
        <v>111</v>
      </c>
      <c r="D3" s="17" t="s">
        <v>57</v>
      </c>
      <c r="E3" s="17" t="s">
        <v>112</v>
      </c>
      <c r="F3" s="17" t="s">
        <v>113</v>
      </c>
      <c r="G3" s="17" t="s">
        <v>114</v>
      </c>
      <c r="H3" s="17" t="s">
        <v>115</v>
      </c>
      <c r="I3" s="17" t="s">
        <v>116</v>
      </c>
      <c r="J3" s="17" t="s">
        <v>117</v>
      </c>
      <c r="K3" s="17" t="s">
        <v>105</v>
      </c>
    </row>
    <row r="4" customFormat="false" ht="15" hidden="false" customHeight="false" outlineLevel="0" collapsed="false">
      <c r="A4" s="8" t="n">
        <v>1</v>
      </c>
      <c r="B4" s="8" t="s">
        <v>118</v>
      </c>
      <c r="C4" s="8" t="s">
        <v>119</v>
      </c>
      <c r="D4" s="8" t="s">
        <v>120</v>
      </c>
      <c r="E4" s="8" t="s">
        <v>68</v>
      </c>
      <c r="F4" s="8" t="s">
        <v>121</v>
      </c>
      <c r="G4" s="23" t="s">
        <v>106</v>
      </c>
      <c r="H4" s="23" t="s">
        <v>122</v>
      </c>
      <c r="I4" s="23" t="s">
        <v>107</v>
      </c>
      <c r="J4" s="8" t="s">
        <v>123</v>
      </c>
    </row>
    <row r="5" customFormat="false" ht="15" hidden="false" customHeight="false" outlineLevel="0" collapsed="false">
      <c r="A5" s="8" t="n">
        <v>2</v>
      </c>
      <c r="B5" s="8" t="s">
        <v>124</v>
      </c>
      <c r="C5" s="8" t="s">
        <v>125</v>
      </c>
      <c r="D5" s="8" t="s">
        <v>126</v>
      </c>
      <c r="E5" s="8" t="s">
        <v>68</v>
      </c>
      <c r="F5" s="8" t="s">
        <v>127</v>
      </c>
      <c r="G5" s="23" t="s">
        <v>128</v>
      </c>
      <c r="H5" s="23" t="s">
        <v>107</v>
      </c>
      <c r="I5" s="23" t="s">
        <v>129</v>
      </c>
      <c r="J5" s="8" t="s">
        <v>123</v>
      </c>
    </row>
    <row r="6" customFormat="false" ht="15" hidden="false" customHeight="false" outlineLevel="0" collapsed="false">
      <c r="A6" s="8" t="n">
        <v>3</v>
      </c>
      <c r="B6" s="8" t="s">
        <v>130</v>
      </c>
      <c r="C6" s="8" t="s">
        <v>131</v>
      </c>
      <c r="D6" s="8" t="s">
        <v>132</v>
      </c>
      <c r="E6" s="8" t="s">
        <v>79</v>
      </c>
      <c r="F6" s="8" t="s">
        <v>133</v>
      </c>
      <c r="G6" s="23" t="s">
        <v>129</v>
      </c>
      <c r="H6" s="23" t="s">
        <v>134</v>
      </c>
      <c r="I6" s="23" t="s">
        <v>135</v>
      </c>
      <c r="J6" s="8" t="s">
        <v>123</v>
      </c>
    </row>
    <row r="7" customFormat="false" ht="15" hidden="false" customHeight="false" outlineLevel="0" collapsed="false">
      <c r="A7" s="19" t="n">
        <v>4</v>
      </c>
    </row>
    <row r="8" customFormat="false" ht="15" hidden="false" customHeight="false" outlineLevel="0" collapsed="false">
      <c r="A8" s="19" t="n">
        <v>5</v>
      </c>
    </row>
    <row r="9" customFormat="false" ht="15" hidden="false" customHeight="false" outlineLevel="0" collapsed="false">
      <c r="A9" s="19" t="n">
        <v>6</v>
      </c>
    </row>
    <row r="10" customFormat="false" ht="15" hidden="false" customHeight="false" outlineLevel="0" collapsed="false">
      <c r="A10" s="19" t="n">
        <v>7</v>
      </c>
    </row>
    <row r="11" customFormat="false" ht="15" hidden="false" customHeight="false" outlineLevel="0" collapsed="false">
      <c r="A11" s="19" t="n">
        <v>8</v>
      </c>
    </row>
    <row r="12" customFormat="false" ht="15" hidden="false" customHeight="false" outlineLevel="0" collapsed="false">
      <c r="A12" s="19" t="n">
        <v>9</v>
      </c>
    </row>
    <row r="13" customFormat="false" ht="15" hidden="false" customHeight="false" outlineLevel="0" collapsed="false">
      <c r="A13" s="19" t="n">
        <v>10</v>
      </c>
    </row>
    <row r="14" customFormat="false" ht="15" hidden="false" customHeight="false" outlineLevel="0" collapsed="false">
      <c r="A14" s="19" t="n">
        <v>11</v>
      </c>
    </row>
    <row r="15" customFormat="false" ht="15" hidden="false" customHeight="false" outlineLevel="0" collapsed="false">
      <c r="A15" s="19" t="n">
        <v>12</v>
      </c>
    </row>
    <row r="16" customFormat="false" ht="15" hidden="false" customHeight="false" outlineLevel="0" collapsed="false">
      <c r="A16" s="19" t="n">
        <v>13</v>
      </c>
    </row>
    <row r="17" customFormat="false" ht="15" hidden="false" customHeight="false" outlineLevel="0" collapsed="false">
      <c r="A17" s="19" t="n">
        <v>14</v>
      </c>
    </row>
    <row r="18" customFormat="false" ht="15" hidden="false" customHeight="false" outlineLevel="0" collapsed="false">
      <c r="A18" s="19" t="n">
        <v>15</v>
      </c>
    </row>
    <row r="19" customFormat="false" ht="15" hidden="false" customHeight="false" outlineLevel="0" collapsed="false">
      <c r="A19" s="19" t="n">
        <v>16</v>
      </c>
    </row>
    <row r="20" customFormat="false" ht="15" hidden="false" customHeight="false" outlineLevel="0" collapsed="false">
      <c r="A20" s="19" t="n">
        <v>17</v>
      </c>
    </row>
    <row r="21" customFormat="false" ht="15" hidden="false" customHeight="false" outlineLevel="0" collapsed="false">
      <c r="A21" s="19" t="n">
        <v>18</v>
      </c>
    </row>
    <row r="22" customFormat="false" ht="15" hidden="false" customHeight="false" outlineLevel="0" collapsed="false">
      <c r="A22" s="19" t="n">
        <v>19</v>
      </c>
    </row>
    <row r="23" customFormat="false" ht="15" hidden="false" customHeight="false" outlineLevel="0" collapsed="false">
      <c r="A23" s="19" t="n">
        <v>20</v>
      </c>
    </row>
    <row r="24" customFormat="false" ht="15" hidden="false" customHeight="false" outlineLevel="0" collapsed="false">
      <c r="A24" s="19" t="n">
        <v>21</v>
      </c>
    </row>
    <row r="25" customFormat="false" ht="15" hidden="false" customHeight="false" outlineLevel="0" collapsed="false">
      <c r="A25" s="19" t="n">
        <v>22</v>
      </c>
    </row>
    <row r="26" customFormat="false" ht="15" hidden="false" customHeight="false" outlineLevel="0" collapsed="false">
      <c r="A26" s="19" t="n">
        <v>23</v>
      </c>
    </row>
    <row r="27" customFormat="false" ht="15" hidden="false" customHeight="false" outlineLevel="0" collapsed="false">
      <c r="A27" s="19" t="n">
        <v>24</v>
      </c>
    </row>
    <row r="28" customFormat="false" ht="15" hidden="false" customHeight="false" outlineLevel="0" collapsed="false">
      <c r="A28" s="19" t="n">
        <v>25</v>
      </c>
    </row>
    <row r="29" customFormat="false" ht="15" hidden="false" customHeight="false" outlineLevel="0" collapsed="false">
      <c r="A29" s="19" t="n">
        <v>26</v>
      </c>
    </row>
    <row r="30" customFormat="false" ht="15" hidden="false" customHeight="false" outlineLevel="0" collapsed="false">
      <c r="A30" s="19" t="n">
        <v>27</v>
      </c>
    </row>
    <row r="31" customFormat="false" ht="15" hidden="false" customHeight="false" outlineLevel="0" collapsed="false">
      <c r="A31" s="19" t="n">
        <v>28</v>
      </c>
    </row>
    <row r="32" customFormat="false" ht="15" hidden="false" customHeight="false" outlineLevel="0" collapsed="false">
      <c r="A32" s="19" t="n">
        <v>29</v>
      </c>
    </row>
    <row r="33" customFormat="false" ht="15" hidden="false" customHeight="false" outlineLevel="0" collapsed="false">
      <c r="A33" s="19" t="n">
        <v>30</v>
      </c>
    </row>
    <row r="34" customFormat="false" ht="15" hidden="false" customHeight="false" outlineLevel="0" collapsed="false">
      <c r="A34" s="19" t="n">
        <v>31</v>
      </c>
    </row>
    <row r="35" customFormat="false" ht="15" hidden="false" customHeight="false" outlineLevel="0" collapsed="false">
      <c r="A35" s="19" t="n">
        <v>32</v>
      </c>
    </row>
    <row r="36" customFormat="false" ht="15" hidden="false" customHeight="false" outlineLevel="0" collapsed="false">
      <c r="A36" s="19" t="n">
        <v>33</v>
      </c>
    </row>
    <row r="37" customFormat="false" ht="15" hidden="false" customHeight="false" outlineLevel="0" collapsed="false">
      <c r="A37" s="19" t="n">
        <v>34</v>
      </c>
    </row>
    <row r="38" customFormat="false" ht="15" hidden="false" customHeight="false" outlineLevel="0" collapsed="false">
      <c r="A38" s="19" t="n">
        <v>35</v>
      </c>
    </row>
    <row r="39" customFormat="false" ht="15" hidden="false" customHeight="false" outlineLevel="0" collapsed="false">
      <c r="A39" s="19" t="n">
        <v>36</v>
      </c>
    </row>
    <row r="40" customFormat="false" ht="15" hidden="false" customHeight="false" outlineLevel="0" collapsed="false">
      <c r="A40" s="19" t="n">
        <v>37</v>
      </c>
    </row>
    <row r="41" customFormat="false" ht="15" hidden="false" customHeight="false" outlineLevel="0" collapsed="false">
      <c r="A41" s="19" t="n">
        <v>38</v>
      </c>
    </row>
    <row r="42" customFormat="false" ht="15" hidden="false" customHeight="false" outlineLevel="0" collapsed="false">
      <c r="A42" s="19" t="n">
        <v>39</v>
      </c>
    </row>
    <row r="43" customFormat="false" ht="15" hidden="false" customHeight="false" outlineLevel="0" collapsed="false">
      <c r="A43" s="19" t="n">
        <v>40</v>
      </c>
    </row>
    <row r="44" customFormat="false" ht="15" hidden="false" customHeight="false" outlineLevel="0" collapsed="false">
      <c r="A44" s="19" t="n">
        <v>41</v>
      </c>
    </row>
    <row r="45" customFormat="false" ht="15" hidden="false" customHeight="false" outlineLevel="0" collapsed="false">
      <c r="A45" s="19" t="n">
        <v>42</v>
      </c>
    </row>
    <row r="46" customFormat="false" ht="15" hidden="false" customHeight="false" outlineLevel="0" collapsed="false">
      <c r="A46" s="19" t="n">
        <v>43</v>
      </c>
    </row>
    <row r="47" customFormat="false" ht="15" hidden="false" customHeight="false" outlineLevel="0" collapsed="false">
      <c r="A47" s="19" t="n">
        <v>44</v>
      </c>
    </row>
    <row r="48" customFormat="false" ht="15" hidden="false" customHeight="false" outlineLevel="0" collapsed="false">
      <c r="A48" s="19" t="n">
        <v>45</v>
      </c>
    </row>
    <row r="49" customFormat="false" ht="15" hidden="false" customHeight="false" outlineLevel="0" collapsed="false">
      <c r="A49" s="19" t="n">
        <v>46</v>
      </c>
    </row>
    <row r="50" customFormat="false" ht="15" hidden="false" customHeight="false" outlineLevel="0" collapsed="false">
      <c r="A50" s="19" t="n">
        <v>47</v>
      </c>
    </row>
    <row r="51" customFormat="false" ht="15" hidden="false" customHeight="false" outlineLevel="0" collapsed="false">
      <c r="A51" s="19" t="n">
        <v>48</v>
      </c>
    </row>
    <row r="52" customFormat="false" ht="15" hidden="false" customHeight="false" outlineLevel="0" collapsed="false">
      <c r="A52" s="19" t="n">
        <v>49</v>
      </c>
    </row>
    <row r="53" customFormat="false" ht="15" hidden="false" customHeight="false" outlineLevel="0" collapsed="false">
      <c r="A53" s="19" t="n">
        <v>50</v>
      </c>
    </row>
    <row r="54" customFormat="false" ht="15" hidden="false" customHeight="false" outlineLevel="0" collapsed="false">
      <c r="A54" s="19" t="n">
        <v>51</v>
      </c>
    </row>
    <row r="55" customFormat="false" ht="15" hidden="false" customHeight="false" outlineLevel="0" collapsed="false">
      <c r="A55" s="19" t="n">
        <v>52</v>
      </c>
    </row>
    <row r="56" customFormat="false" ht="15" hidden="false" customHeight="false" outlineLevel="0" collapsed="false">
      <c r="A56" s="19" t="n">
        <v>53</v>
      </c>
    </row>
    <row r="57" customFormat="false" ht="15" hidden="false" customHeight="false" outlineLevel="0" collapsed="false">
      <c r="A57" s="19" t="n">
        <v>54</v>
      </c>
    </row>
    <row r="58" customFormat="false" ht="15" hidden="false" customHeight="false" outlineLevel="0" collapsed="false">
      <c r="A58" s="19" t="n">
        <v>55</v>
      </c>
    </row>
    <row r="59" customFormat="false" ht="15" hidden="false" customHeight="false" outlineLevel="0" collapsed="false">
      <c r="A59" s="19" t="n">
        <v>56</v>
      </c>
    </row>
    <row r="60" customFormat="false" ht="15" hidden="false" customHeight="false" outlineLevel="0" collapsed="false">
      <c r="A60" s="19" t="n">
        <v>57</v>
      </c>
    </row>
    <row r="61" customFormat="false" ht="15" hidden="false" customHeight="false" outlineLevel="0" collapsed="false">
      <c r="A61" s="19" t="n">
        <v>58</v>
      </c>
    </row>
    <row r="62" customFormat="false" ht="15" hidden="false" customHeight="false" outlineLevel="0" collapsed="false">
      <c r="A62" s="19" t="n">
        <v>59</v>
      </c>
    </row>
    <row r="63" customFormat="false" ht="15" hidden="false" customHeight="false" outlineLevel="0" collapsed="false">
      <c r="A63" s="19" t="n">
        <v>60</v>
      </c>
    </row>
    <row r="64" customFormat="false" ht="15" hidden="false" customHeight="false" outlineLevel="0" collapsed="false">
      <c r="A64" s="19" t="n">
        <v>61</v>
      </c>
    </row>
    <row r="65" customFormat="false" ht="15" hidden="false" customHeight="false" outlineLevel="0" collapsed="false">
      <c r="A65" s="19" t="n">
        <v>62</v>
      </c>
    </row>
    <row r="66" customFormat="false" ht="15" hidden="false" customHeight="false" outlineLevel="0" collapsed="false">
      <c r="A66" s="19" t="n">
        <v>63</v>
      </c>
    </row>
    <row r="67" customFormat="false" ht="15" hidden="false" customHeight="false" outlineLevel="0" collapsed="false">
      <c r="A67" s="19" t="n">
        <v>64</v>
      </c>
    </row>
    <row r="68" customFormat="false" ht="15" hidden="false" customHeight="false" outlineLevel="0" collapsed="false">
      <c r="A68" s="19" t="n">
        <v>65</v>
      </c>
    </row>
    <row r="69" customFormat="false" ht="15" hidden="false" customHeight="false" outlineLevel="0" collapsed="false">
      <c r="A69" s="19" t="n">
        <v>66</v>
      </c>
    </row>
    <row r="70" customFormat="false" ht="15" hidden="false" customHeight="false" outlineLevel="0" collapsed="false">
      <c r="A70" s="19" t="n">
        <v>67</v>
      </c>
    </row>
    <row r="71" customFormat="false" ht="15" hidden="false" customHeight="false" outlineLevel="0" collapsed="false">
      <c r="A71" s="19" t="n">
        <v>68</v>
      </c>
    </row>
    <row r="72" customFormat="false" ht="15" hidden="false" customHeight="false" outlineLevel="0" collapsed="false">
      <c r="A72" s="19" t="n">
        <v>69</v>
      </c>
    </row>
    <row r="73" customFormat="false" ht="15" hidden="false" customHeight="false" outlineLevel="0" collapsed="false">
      <c r="A73" s="19" t="n">
        <v>70</v>
      </c>
    </row>
    <row r="74" customFormat="false" ht="15" hidden="false" customHeight="false" outlineLevel="0" collapsed="false">
      <c r="A74" s="19" t="n">
        <v>71</v>
      </c>
    </row>
    <row r="75" customFormat="false" ht="15" hidden="false" customHeight="false" outlineLevel="0" collapsed="false">
      <c r="A75" s="19" t="n">
        <v>72</v>
      </c>
    </row>
    <row r="76" customFormat="false" ht="15" hidden="false" customHeight="false" outlineLevel="0" collapsed="false">
      <c r="A76" s="19" t="n">
        <v>73</v>
      </c>
    </row>
    <row r="77" customFormat="false" ht="15" hidden="false" customHeight="false" outlineLevel="0" collapsed="false">
      <c r="A77" s="19" t="n">
        <v>74</v>
      </c>
    </row>
    <row r="78" customFormat="false" ht="15" hidden="false" customHeight="false" outlineLevel="0" collapsed="false">
      <c r="A78" s="19" t="n">
        <v>75</v>
      </c>
    </row>
    <row r="79" customFormat="false" ht="15" hidden="false" customHeight="false" outlineLevel="0" collapsed="false">
      <c r="A79" s="19" t="n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5" t="s">
        <v>136</v>
      </c>
    </row>
    <row r="2" customFormat="false" ht="15" hidden="false" customHeight="false" outlineLevel="0" collapsed="false">
      <c r="A2" s="6" t="s">
        <v>137</v>
      </c>
    </row>
    <row r="3" customFormat="false" ht="31.5" hidden="false" customHeight="true" outlineLevel="0" collapsed="false">
      <c r="A3" s="17" t="s">
        <v>55</v>
      </c>
      <c r="B3" s="17" t="s">
        <v>138</v>
      </c>
      <c r="C3" s="17" t="s">
        <v>61</v>
      </c>
      <c r="D3" s="17" t="s">
        <v>139</v>
      </c>
      <c r="E3" s="17" t="s">
        <v>140</v>
      </c>
      <c r="F3" s="17" t="s">
        <v>141</v>
      </c>
      <c r="G3" s="17" t="s">
        <v>142</v>
      </c>
      <c r="H3" s="17" t="s">
        <v>143</v>
      </c>
      <c r="I3" s="17" t="s">
        <v>144</v>
      </c>
      <c r="J3" s="17" t="s">
        <v>145</v>
      </c>
      <c r="K3" s="17" t="s">
        <v>105</v>
      </c>
    </row>
    <row r="4" customFormat="false" ht="15" hidden="false" customHeight="false" outlineLevel="0" collapsed="false">
      <c r="A4" s="8" t="n">
        <v>1</v>
      </c>
      <c r="B4" s="23" t="s">
        <v>74</v>
      </c>
      <c r="C4" s="8" t="s">
        <v>146</v>
      </c>
      <c r="D4" s="8" t="s">
        <v>147</v>
      </c>
      <c r="E4" s="8" t="s">
        <v>148</v>
      </c>
      <c r="F4" s="8" t="n">
        <v>4200</v>
      </c>
      <c r="G4" s="8" t="n">
        <v>180</v>
      </c>
      <c r="H4" s="8" t="n">
        <v>26</v>
      </c>
      <c r="I4" s="8" t="n">
        <v>7</v>
      </c>
      <c r="J4" s="8" t="n">
        <v>3</v>
      </c>
      <c r="K4" s="8" t="s">
        <v>149</v>
      </c>
    </row>
    <row r="5" customFormat="false" ht="15" hidden="false" customHeight="false" outlineLevel="0" collapsed="false">
      <c r="A5" s="8" t="n">
        <v>2</v>
      </c>
      <c r="B5" s="23" t="s">
        <v>84</v>
      </c>
      <c r="C5" s="8" t="s">
        <v>150</v>
      </c>
      <c r="D5" s="8" t="s">
        <v>151</v>
      </c>
      <c r="E5" s="8" t="s">
        <v>152</v>
      </c>
      <c r="F5" s="8" t="n">
        <v>2800</v>
      </c>
      <c r="G5" s="8" t="n">
        <v>95</v>
      </c>
      <c r="H5" s="8" t="n">
        <v>18</v>
      </c>
      <c r="I5" s="8" t="n">
        <v>4</v>
      </c>
      <c r="J5" s="8" t="n">
        <v>1</v>
      </c>
      <c r="K5" s="8" t="s">
        <v>153</v>
      </c>
    </row>
    <row r="6" customFormat="false" ht="15" hidden="false" customHeight="false" outlineLevel="0" collapsed="false">
      <c r="A6" s="8" t="n">
        <v>3</v>
      </c>
      <c r="B6" s="23" t="s">
        <v>76</v>
      </c>
      <c r="C6" s="8" t="s">
        <v>146</v>
      </c>
      <c r="D6" s="8" t="s">
        <v>147</v>
      </c>
      <c r="E6" s="8" t="s">
        <v>154</v>
      </c>
      <c r="F6" s="8" t="n">
        <v>3100</v>
      </c>
      <c r="G6" s="8" t="n">
        <v>110</v>
      </c>
      <c r="H6" s="8" t="n">
        <v>14</v>
      </c>
      <c r="I6" s="8" t="n">
        <v>3</v>
      </c>
      <c r="J6" s="8" t="n">
        <v>2</v>
      </c>
      <c r="K6" s="8" t="s">
        <v>155</v>
      </c>
    </row>
    <row r="7" customFormat="false" ht="15" hidden="false" customHeight="false" outlineLevel="0" collapsed="false">
      <c r="A7" s="8" t="n">
        <v>4</v>
      </c>
      <c r="B7" s="23" t="s">
        <v>156</v>
      </c>
      <c r="C7" s="8" t="s">
        <v>58</v>
      </c>
      <c r="D7" s="8" t="s">
        <v>157</v>
      </c>
      <c r="E7" s="8" t="s">
        <v>158</v>
      </c>
      <c r="F7" s="8" t="n">
        <v>100</v>
      </c>
      <c r="G7" s="8" t="n">
        <v>8</v>
      </c>
      <c r="H7" s="8" t="n">
        <v>3</v>
      </c>
      <c r="I7" s="8" t="n">
        <v>2</v>
      </c>
      <c r="J7" s="8" t="n">
        <v>1</v>
      </c>
      <c r="K7" s="8" t="s">
        <v>159</v>
      </c>
    </row>
    <row r="8" customFormat="false" ht="15" hidden="false" customHeight="false" outlineLevel="0" collapsed="false">
      <c r="A8" s="19" t="n">
        <v>5</v>
      </c>
    </row>
    <row r="9" customFormat="false" ht="15" hidden="false" customHeight="false" outlineLevel="0" collapsed="false">
      <c r="A9" s="19" t="n">
        <v>6</v>
      </c>
    </row>
    <row r="10" customFormat="false" ht="15" hidden="false" customHeight="false" outlineLevel="0" collapsed="false">
      <c r="A10" s="19" t="n">
        <v>7</v>
      </c>
    </row>
    <row r="11" customFormat="false" ht="15" hidden="false" customHeight="false" outlineLevel="0" collapsed="false">
      <c r="A11" s="19" t="n">
        <v>8</v>
      </c>
    </row>
    <row r="12" customFormat="false" ht="15" hidden="false" customHeight="false" outlineLevel="0" collapsed="false">
      <c r="A12" s="19" t="n">
        <v>9</v>
      </c>
    </row>
    <row r="13" customFormat="false" ht="15" hidden="false" customHeight="false" outlineLevel="0" collapsed="false">
      <c r="A13" s="19" t="n">
        <v>10</v>
      </c>
    </row>
    <row r="14" customFormat="false" ht="15" hidden="false" customHeight="false" outlineLevel="0" collapsed="false">
      <c r="A14" s="19" t="n">
        <v>11</v>
      </c>
    </row>
    <row r="15" customFormat="false" ht="15" hidden="false" customHeight="false" outlineLevel="0" collapsed="false">
      <c r="A15" s="19" t="n">
        <v>12</v>
      </c>
    </row>
    <row r="16" customFormat="false" ht="15" hidden="false" customHeight="false" outlineLevel="0" collapsed="false">
      <c r="A16" s="19" t="n">
        <v>13</v>
      </c>
    </row>
    <row r="17" customFormat="false" ht="15" hidden="false" customHeight="false" outlineLevel="0" collapsed="false">
      <c r="A17" s="19" t="n">
        <v>14</v>
      </c>
    </row>
    <row r="18" customFormat="false" ht="15" hidden="false" customHeight="false" outlineLevel="0" collapsed="false">
      <c r="A18" s="19" t="n">
        <v>15</v>
      </c>
    </row>
    <row r="19" customFormat="false" ht="15" hidden="false" customHeight="false" outlineLevel="0" collapsed="false">
      <c r="A19" s="19" t="n">
        <v>16</v>
      </c>
    </row>
    <row r="20" customFormat="false" ht="15" hidden="false" customHeight="false" outlineLevel="0" collapsed="false">
      <c r="A20" s="19" t="n">
        <v>17</v>
      </c>
    </row>
    <row r="21" customFormat="false" ht="15" hidden="false" customHeight="false" outlineLevel="0" collapsed="false">
      <c r="A21" s="19" t="n">
        <v>18</v>
      </c>
    </row>
    <row r="22" customFormat="false" ht="15" hidden="false" customHeight="false" outlineLevel="0" collapsed="false">
      <c r="A22" s="19" t="n">
        <v>19</v>
      </c>
    </row>
    <row r="23" customFormat="false" ht="15" hidden="false" customHeight="false" outlineLevel="0" collapsed="false">
      <c r="A23" s="19" t="n">
        <v>20</v>
      </c>
    </row>
    <row r="24" customFormat="false" ht="15" hidden="false" customHeight="false" outlineLevel="0" collapsed="false">
      <c r="A24" s="19" t="n">
        <v>21</v>
      </c>
    </row>
    <row r="25" customFormat="false" ht="15" hidden="false" customHeight="false" outlineLevel="0" collapsed="false">
      <c r="A25" s="19" t="n">
        <v>22</v>
      </c>
    </row>
    <row r="26" customFormat="false" ht="15" hidden="false" customHeight="false" outlineLevel="0" collapsed="false">
      <c r="A26" s="19" t="n">
        <v>23</v>
      </c>
    </row>
    <row r="27" customFormat="false" ht="15" hidden="false" customHeight="false" outlineLevel="0" collapsed="false">
      <c r="A27" s="19" t="n">
        <v>24</v>
      </c>
    </row>
    <row r="28" customFormat="false" ht="15" hidden="false" customHeight="false" outlineLevel="0" collapsed="false">
      <c r="A28" s="19" t="n">
        <v>25</v>
      </c>
    </row>
    <row r="29" customFormat="false" ht="15" hidden="false" customHeight="false" outlineLevel="0" collapsed="false">
      <c r="A29" s="19" t="n">
        <v>26</v>
      </c>
    </row>
    <row r="30" customFormat="false" ht="15" hidden="false" customHeight="false" outlineLevel="0" collapsed="false">
      <c r="A30" s="19" t="n">
        <v>27</v>
      </c>
    </row>
    <row r="31" customFormat="false" ht="15" hidden="false" customHeight="false" outlineLevel="0" collapsed="false">
      <c r="A31" s="19" t="n">
        <v>28</v>
      </c>
    </row>
    <row r="32" customFormat="false" ht="15" hidden="false" customHeight="false" outlineLevel="0" collapsed="false">
      <c r="A32" s="19" t="n">
        <v>29</v>
      </c>
    </row>
    <row r="33" customFormat="false" ht="15" hidden="false" customHeight="false" outlineLevel="0" collapsed="false">
      <c r="A33" s="19" t="n">
        <v>30</v>
      </c>
    </row>
    <row r="34" customFormat="false" ht="15" hidden="false" customHeight="false" outlineLevel="0" collapsed="false">
      <c r="A34" s="19" t="n">
        <v>31</v>
      </c>
    </row>
    <row r="35" customFormat="false" ht="15" hidden="false" customHeight="false" outlineLevel="0" collapsed="false">
      <c r="A35" s="19" t="n">
        <v>32</v>
      </c>
    </row>
    <row r="36" customFormat="false" ht="15" hidden="false" customHeight="false" outlineLevel="0" collapsed="false">
      <c r="A36" s="19" t="n">
        <v>33</v>
      </c>
    </row>
    <row r="37" customFormat="false" ht="15" hidden="false" customHeight="false" outlineLevel="0" collapsed="false">
      <c r="A37" s="19" t="n">
        <v>34</v>
      </c>
    </row>
    <row r="38" customFormat="false" ht="15" hidden="false" customHeight="false" outlineLevel="0" collapsed="false">
      <c r="A38" s="19" t="n">
        <v>35</v>
      </c>
    </row>
    <row r="39" customFormat="false" ht="15" hidden="false" customHeight="false" outlineLevel="0" collapsed="false">
      <c r="A39" s="19" t="n">
        <v>36</v>
      </c>
    </row>
    <row r="40" customFormat="false" ht="15" hidden="false" customHeight="false" outlineLevel="0" collapsed="false">
      <c r="A40" s="19" t="n">
        <v>37</v>
      </c>
    </row>
    <row r="41" customFormat="false" ht="15" hidden="false" customHeight="false" outlineLevel="0" collapsed="false">
      <c r="A41" s="19" t="n">
        <v>38</v>
      </c>
    </row>
    <row r="42" customFormat="false" ht="15" hidden="false" customHeight="false" outlineLevel="0" collapsed="false">
      <c r="A42" s="19" t="n">
        <v>39</v>
      </c>
    </row>
    <row r="43" customFormat="false" ht="15" hidden="false" customHeight="false" outlineLevel="0" collapsed="false">
      <c r="A43" s="19" t="n">
        <v>40</v>
      </c>
    </row>
    <row r="44" customFormat="false" ht="15" hidden="false" customHeight="false" outlineLevel="0" collapsed="false">
      <c r="A44" s="19" t="n">
        <v>41</v>
      </c>
    </row>
    <row r="45" customFormat="false" ht="15" hidden="false" customHeight="false" outlineLevel="0" collapsed="false">
      <c r="A45" s="19" t="n">
        <v>42</v>
      </c>
    </row>
    <row r="46" customFormat="false" ht="15" hidden="false" customHeight="false" outlineLevel="0" collapsed="false">
      <c r="A46" s="19" t="n">
        <v>43</v>
      </c>
    </row>
    <row r="47" customFormat="false" ht="15" hidden="false" customHeight="false" outlineLevel="0" collapsed="false">
      <c r="A47" s="19" t="n">
        <v>44</v>
      </c>
    </row>
    <row r="48" customFormat="false" ht="15" hidden="false" customHeight="false" outlineLevel="0" collapsed="false">
      <c r="A48" s="19" t="n">
        <v>45</v>
      </c>
    </row>
    <row r="49" customFormat="false" ht="15" hidden="false" customHeight="false" outlineLevel="0" collapsed="false">
      <c r="A49" s="19" t="n">
        <v>46</v>
      </c>
    </row>
    <row r="50" customFormat="false" ht="15" hidden="false" customHeight="false" outlineLevel="0" collapsed="false">
      <c r="A50" s="19" t="n">
        <v>47</v>
      </c>
    </row>
    <row r="51" customFormat="false" ht="15" hidden="false" customHeight="false" outlineLevel="0" collapsed="false">
      <c r="A51" s="19" t="n">
        <v>48</v>
      </c>
    </row>
    <row r="52" customFormat="false" ht="15" hidden="false" customHeight="false" outlineLevel="0" collapsed="false">
      <c r="A52" s="19" t="n">
        <v>49</v>
      </c>
    </row>
    <row r="53" customFormat="false" ht="15" hidden="false" customHeight="false" outlineLevel="0" collapsed="false">
      <c r="A53" s="19" t="n">
        <v>50</v>
      </c>
    </row>
    <row r="54" customFormat="false" ht="15" hidden="false" customHeight="false" outlineLevel="0" collapsed="false">
      <c r="A54" s="19" t="n">
        <v>51</v>
      </c>
    </row>
    <row r="55" customFormat="false" ht="15" hidden="false" customHeight="false" outlineLevel="0" collapsed="false">
      <c r="A55" s="19" t="n">
        <v>52</v>
      </c>
    </row>
    <row r="56" customFormat="false" ht="15" hidden="false" customHeight="false" outlineLevel="0" collapsed="false">
      <c r="A56" s="19" t="n">
        <v>53</v>
      </c>
    </row>
    <row r="57" customFormat="false" ht="15" hidden="false" customHeight="false" outlineLevel="0" collapsed="false">
      <c r="A57" s="19" t="n">
        <v>54</v>
      </c>
    </row>
    <row r="58" customFormat="false" ht="15" hidden="false" customHeight="false" outlineLevel="0" collapsed="false">
      <c r="A58" s="19" t="n">
        <v>55</v>
      </c>
    </row>
    <row r="59" customFormat="false" ht="15" hidden="false" customHeight="false" outlineLevel="0" collapsed="false">
      <c r="A59" s="19" t="n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7" min="3" style="0" width="26"/>
  </cols>
  <sheetData>
    <row r="1" customFormat="false" ht="17.35" hidden="false" customHeight="false" outlineLevel="0" collapsed="false">
      <c r="A1" s="5" t="s">
        <v>160</v>
      </c>
    </row>
    <row r="2" customFormat="false" ht="15" hidden="false" customHeight="false" outlineLevel="0" collapsed="false">
      <c r="A2" s="6" t="s">
        <v>161</v>
      </c>
    </row>
    <row r="4" customFormat="false" ht="39.75" hidden="false" customHeight="true" outlineLevel="0" collapsed="false">
      <c r="B4" s="30" t="s">
        <v>162</v>
      </c>
      <c r="C4" s="17" t="s">
        <v>163</v>
      </c>
      <c r="D4" s="17" t="s">
        <v>164</v>
      </c>
      <c r="E4" s="17" t="s">
        <v>165</v>
      </c>
      <c r="F4" s="17" t="s">
        <v>166</v>
      </c>
    </row>
    <row r="5" customFormat="false" ht="60" hidden="false" customHeight="true" outlineLevel="0" collapsed="false">
      <c r="B5" s="31" t="s">
        <v>167</v>
      </c>
      <c r="C5" s="32"/>
      <c r="D5" s="32"/>
      <c r="E5" s="32"/>
      <c r="F5" s="32"/>
    </row>
    <row r="6" customFormat="false" ht="60" hidden="false" customHeight="true" outlineLevel="0" collapsed="false">
      <c r="B6" s="31" t="s">
        <v>168</v>
      </c>
      <c r="C6" s="32"/>
      <c r="D6" s="32"/>
      <c r="E6" s="32"/>
      <c r="F6" s="32"/>
    </row>
    <row r="7" customFormat="false" ht="60" hidden="false" customHeight="true" outlineLevel="0" collapsed="false">
      <c r="B7" s="31" t="s">
        <v>169</v>
      </c>
      <c r="C7" s="32"/>
      <c r="D7" s="32"/>
      <c r="E7" s="32"/>
      <c r="F7" s="32"/>
    </row>
    <row r="8" customFormat="false" ht="60" hidden="false" customHeight="true" outlineLevel="0" collapsed="false">
      <c r="B8" s="31" t="s">
        <v>170</v>
      </c>
      <c r="C8" s="32"/>
      <c r="D8" s="32"/>
      <c r="E8" s="32"/>
      <c r="F8" s="32"/>
    </row>
    <row r="9" customFormat="false" ht="60" hidden="false" customHeight="true" outlineLevel="0" collapsed="false">
      <c r="B9" s="31" t="s">
        <v>171</v>
      </c>
      <c r="C9" s="32"/>
      <c r="D9" s="32"/>
      <c r="E9" s="32"/>
      <c r="F9" s="32"/>
    </row>
    <row r="10" customFormat="false" ht="60" hidden="false" customHeight="true" outlineLevel="0" collapsed="false">
      <c r="B10" s="31" t="s">
        <v>172</v>
      </c>
      <c r="C10" s="32"/>
      <c r="D10" s="32"/>
      <c r="E10" s="32"/>
      <c r="F10" s="32"/>
    </row>
    <row r="11" customFormat="false" ht="60" hidden="false" customHeight="true" outlineLevel="0" collapsed="false">
      <c r="B11" s="31" t="s">
        <v>173</v>
      </c>
      <c r="C11" s="32"/>
      <c r="D11" s="32"/>
      <c r="E11" s="32"/>
      <c r="F11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28"/>
  </cols>
  <sheetData>
    <row r="1" customFormat="false" ht="17.35" hidden="false" customHeight="false" outlineLevel="0" collapsed="false">
      <c r="A1" s="5" t="s">
        <v>174</v>
      </c>
    </row>
    <row r="2" customFormat="false" ht="15" hidden="false" customHeight="false" outlineLevel="0" collapsed="false">
      <c r="A2" s="6" t="s">
        <v>175</v>
      </c>
    </row>
    <row r="4" customFormat="false" ht="31.5" hidden="false" customHeight="true" outlineLevel="0" collapsed="false">
      <c r="A4" s="17" t="s">
        <v>176</v>
      </c>
      <c r="B4" s="17" t="s">
        <v>56</v>
      </c>
      <c r="C4" s="17" t="s">
        <v>57</v>
      </c>
      <c r="D4" s="17" t="s">
        <v>177</v>
      </c>
      <c r="E4" s="17" t="s">
        <v>66</v>
      </c>
      <c r="F4" s="17" t="s">
        <v>178</v>
      </c>
      <c r="G4" s="17" t="s">
        <v>179</v>
      </c>
      <c r="H4" s="17" t="s">
        <v>180</v>
      </c>
      <c r="I4" s="17" t="s">
        <v>181</v>
      </c>
      <c r="J4" s="17" t="s">
        <v>182</v>
      </c>
      <c r="K4" s="17" t="s">
        <v>105</v>
      </c>
    </row>
    <row r="5" customFormat="false" ht="15" hidden="false" customHeight="false" outlineLevel="0" collapsed="false">
      <c r="A5" s="33" t="n">
        <v>1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6" customFormat="false" ht="15" hidden="false" customHeight="false" outlineLevel="0" collapsed="false">
      <c r="A6" s="33" t="n">
        <v>2</v>
      </c>
      <c r="B6" s="32"/>
      <c r="C6" s="32"/>
      <c r="D6" s="32"/>
      <c r="E6" s="32"/>
      <c r="F6" s="32"/>
      <c r="G6" s="32"/>
      <c r="H6" s="32"/>
      <c r="I6" s="32"/>
      <c r="J6" s="32"/>
      <c r="K6" s="32"/>
    </row>
    <row r="7" customFormat="false" ht="15" hidden="false" customHeight="false" outlineLevel="0" collapsed="false">
      <c r="A7" s="33" t="n">
        <v>3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customFormat="false" ht="15" hidden="false" customHeight="false" outlineLevel="0" collapsed="false">
      <c r="A8" s="33" t="n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9" customFormat="false" ht="15" hidden="false" customHeight="false" outlineLevel="0" collapsed="false">
      <c r="A9" s="33" t="n">
        <v>5</v>
      </c>
      <c r="B9" s="32"/>
      <c r="C9" s="32"/>
      <c r="D9" s="32"/>
      <c r="E9" s="32"/>
      <c r="F9" s="32"/>
      <c r="G9" s="32"/>
      <c r="H9" s="32"/>
      <c r="I9" s="32"/>
      <c r="J9" s="32"/>
      <c r="K9" s="32"/>
    </row>
    <row r="10" customFormat="false" ht="15" hidden="false" customHeight="false" outlineLevel="0" collapsed="false">
      <c r="A10" s="33" t="n">
        <v>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1" customFormat="false" ht="15" hidden="false" customHeight="false" outlineLevel="0" collapsed="false">
      <c r="A11" s="33" t="n">
        <v>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customFormat="false" ht="15" hidden="false" customHeight="false" outlineLevel="0" collapsed="false">
      <c r="A12" s="33" t="n">
        <v>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</row>
    <row r="13" customFormat="false" ht="15" hidden="false" customHeight="false" outlineLevel="0" collapsed="false">
      <c r="A13" s="33" t="n">
        <v>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4" customFormat="false" ht="15" hidden="false" customHeight="false" outlineLevel="0" collapsed="false">
      <c r="A14" s="33" t="n">
        <v>10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customFormat="false" ht="15" hidden="false" customHeight="false" outlineLevel="0" collapsed="false">
      <c r="A15" s="33" t="n">
        <v>11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customFormat="false" ht="15" hidden="false" customHeight="false" outlineLevel="0" collapsed="false">
      <c r="A16" s="33" t="n">
        <v>12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8" customFormat="false" ht="15" hidden="false" customHeight="false" outlineLevel="0" collapsed="false">
      <c r="B18" s="34" t="s">
        <v>183</v>
      </c>
      <c r="E18" s="35" t="n">
        <f aca="false">COUNTIF(E5:E16,"Confirmed")</f>
        <v>0</v>
      </c>
    </row>
    <row r="19" customFormat="false" ht="15" hidden="false" customHeight="false" outlineLevel="0" collapsed="false">
      <c r="B19" s="34" t="s">
        <v>184</v>
      </c>
      <c r="E19" s="36" t="n">
        <f aca="false">12-E18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2026-05-05T16:19:14Z</dcterms:created>
  <dc:creator>openpyxl</dc:creator>
  <dc:description/>
  <dc:language>en-US</dc:language>
  <cp:lastModifiedBy/>
  <dcterms:modified xsi:type="dcterms:W3CDTF">2026-05-05T16:19:14Z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